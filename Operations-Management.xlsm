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mon\Desktop\Excel_Projext\Operations Management\"/>
    </mc:Choice>
  </mc:AlternateContent>
  <xr:revisionPtr revIDLastSave="0" documentId="13_ncr:1_{EB573260-7394-4B38-BD96-DB364A0237C9}" xr6:coauthVersionLast="41" xr6:coauthVersionMax="43" xr10:uidLastSave="{00000000-0000-0000-0000-000000000000}"/>
  <bookViews>
    <workbookView xWindow="28680" yWindow="-120" windowWidth="29040" windowHeight="15840" xr2:uid="{E89E8C3A-6FFD-4778-80E7-DDF18226C294}"/>
  </bookViews>
  <sheets>
    <sheet name="Landing" sheetId="7" r:id="rId1"/>
    <sheet name="Orders" sheetId="4" state="hidden" r:id="rId2"/>
    <sheet name="Suppliers" sheetId="6" state="hidden" r:id="rId3"/>
    <sheet name="Payroll Information" sheetId="5" state="hidden" r:id="rId4"/>
    <sheet name="Income Statement" sheetId="1" state="hidden" r:id="rId5"/>
    <sheet name="Info" sheetId="8" state="hidden" r:id="rId6"/>
    <sheet name="Log Sheet" sheetId="9" state="hidden" r:id="rId7"/>
  </sheets>
  <definedNames>
    <definedName name="_xlnm._FilterDatabase" localSheetId="1" hidden="1">Orders!$H$1:$O$250</definedName>
    <definedName name="_xlnm._FilterDatabase" localSheetId="3" hidden="1">'Payroll Information'!$B$2:$D$28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3" i="5"/>
  <c r="F3" i="5" s="1"/>
  <c r="C6" i="1"/>
  <c r="C5" i="1"/>
  <c r="C4" i="1"/>
  <c r="C2" i="1" l="1"/>
  <c r="C9" i="1" s="1"/>
  <c r="F6" i="5"/>
  <c r="F4" i="5"/>
  <c r="F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C8" i="1" l="1"/>
  <c r="C11" i="1" s="1"/>
  <c r="I12" i="5"/>
  <c r="O2" i="4" l="1"/>
  <c r="O3" i="4"/>
  <c r="G3" i="6" l="1"/>
  <c r="G4" i="6" s="1"/>
  <c r="G5" i="6" s="1"/>
  <c r="G6" i="6" s="1"/>
  <c r="G7" i="6" s="1"/>
  <c r="G8" i="6" s="1"/>
  <c r="G9" i="6" s="1"/>
  <c r="G10" i="6" s="1"/>
  <c r="G11" i="6" s="1"/>
  <c r="G12" i="6" s="1"/>
  <c r="G13" i="6" s="1"/>
</calcChain>
</file>

<file path=xl/sharedStrings.xml><?xml version="1.0" encoding="utf-8"?>
<sst xmlns="http://schemas.openxmlformats.org/spreadsheetml/2006/main" count="1048" uniqueCount="117">
  <si>
    <t>ORDER NUMBER</t>
  </si>
  <si>
    <t>PRODUCT</t>
  </si>
  <si>
    <t>QUANTITY</t>
  </si>
  <si>
    <t>CLIENT</t>
  </si>
  <si>
    <t>DATE</t>
  </si>
  <si>
    <t>SALES</t>
  </si>
  <si>
    <t>TOTAL AMOUNT</t>
  </si>
  <si>
    <t>EMPLOYEE</t>
  </si>
  <si>
    <t>POSITION</t>
  </si>
  <si>
    <t>HOURS</t>
  </si>
  <si>
    <t>COMMISSION REVENUE</t>
  </si>
  <si>
    <t>PAYROLL SCHEDULE</t>
  </si>
  <si>
    <t>MANAGER</t>
  </si>
  <si>
    <t>ACCOUNTANT</t>
  </si>
  <si>
    <t>ADMIN</t>
  </si>
  <si>
    <t>LEGAL</t>
  </si>
  <si>
    <t>PRODUCT CATALOG</t>
  </si>
  <si>
    <t>PRICE</t>
  </si>
  <si>
    <t>QJWR6696</t>
  </si>
  <si>
    <t>FPEI4665</t>
  </si>
  <si>
    <t>FPEI5572</t>
  </si>
  <si>
    <t>AHFR9421</t>
  </si>
  <si>
    <t>QJWR5848</t>
  </si>
  <si>
    <t>FPEI1376</t>
  </si>
  <si>
    <t>KDUR5180</t>
  </si>
  <si>
    <t>QJWR1034</t>
  </si>
  <si>
    <t>APTX1169</t>
  </si>
  <si>
    <t>FPEI3942</t>
  </si>
  <si>
    <t>KDUR4966</t>
  </si>
  <si>
    <t>QJWR7200</t>
  </si>
  <si>
    <t>AHFR2049</t>
  </si>
  <si>
    <t>AHFR2776</t>
  </si>
  <si>
    <t>QJWR5073</t>
  </si>
  <si>
    <t>KDUR6521</t>
  </si>
  <si>
    <t>KDUR2131</t>
  </si>
  <si>
    <t>AHFR1337</t>
  </si>
  <si>
    <t>QJWR7197</t>
  </si>
  <si>
    <t>KDUR1830</t>
  </si>
  <si>
    <t>PAUD1976</t>
  </si>
  <si>
    <t>AHFR8417</t>
  </si>
  <si>
    <t>PAUD9672</t>
  </si>
  <si>
    <t>APTX9621</t>
  </si>
  <si>
    <t>EZCAREER</t>
  </si>
  <si>
    <t>HIOFFER</t>
  </si>
  <si>
    <t>REDLOCK</t>
  </si>
  <si>
    <t>HEYJAZZ</t>
  </si>
  <si>
    <t>BOBLANDIA</t>
  </si>
  <si>
    <t>ALIBABA</t>
  </si>
  <si>
    <t>MICROSOFT</t>
  </si>
  <si>
    <t>WECARE</t>
  </si>
  <si>
    <t>ZIXUN</t>
  </si>
  <si>
    <t>YANXI</t>
  </si>
  <si>
    <t>YANGCHAOYUE</t>
  </si>
  <si>
    <t>Bula  </t>
  </si>
  <si>
    <t>Senaida  </t>
  </si>
  <si>
    <t>Mina  </t>
  </si>
  <si>
    <t>Guillermina  </t>
  </si>
  <si>
    <t>Gianna  </t>
  </si>
  <si>
    <t>Ying  </t>
  </si>
  <si>
    <t>Jacquetta  </t>
  </si>
  <si>
    <t>Deborah  </t>
  </si>
  <si>
    <t>Eugenia  </t>
  </si>
  <si>
    <t>Adell  </t>
  </si>
  <si>
    <t>Jenifer  </t>
  </si>
  <si>
    <t>Afton  </t>
  </si>
  <si>
    <t>Del  </t>
  </si>
  <si>
    <t>DISCOUNT</t>
  </si>
  <si>
    <t>Natalya  </t>
  </si>
  <si>
    <t>Amos  </t>
  </si>
  <si>
    <t>Lesa  </t>
  </si>
  <si>
    <t>Brittany  </t>
  </si>
  <si>
    <t>Dianne  </t>
  </si>
  <si>
    <t>Miquel  </t>
  </si>
  <si>
    <t>Willa  </t>
  </si>
  <si>
    <t>Shenika  </t>
  </si>
  <si>
    <t>Jaquelyn  </t>
  </si>
  <si>
    <t>Joshua  </t>
  </si>
  <si>
    <t>Maurine  </t>
  </si>
  <si>
    <t>Cristen  </t>
  </si>
  <si>
    <t>Ivy  </t>
  </si>
  <si>
    <t>COMMISSION SCHEDULE</t>
  </si>
  <si>
    <t>ELECTRICITY</t>
  </si>
  <si>
    <t>RENT</t>
  </si>
  <si>
    <t>GAZZO SUPPLIES CO.</t>
  </si>
  <si>
    <t>GARY TECH SOLUTIONS</t>
  </si>
  <si>
    <t>EZ CONSULTING</t>
  </si>
  <si>
    <t>CHARLES MATERIALS LTD</t>
  </si>
  <si>
    <t>SUPPLIER</t>
  </si>
  <si>
    <t>AMOUNT</t>
  </si>
  <si>
    <t>TOTAL REVENUE</t>
  </si>
  <si>
    <t>COST OF GOODS SOLD</t>
  </si>
  <si>
    <t>SELLING, GENERAL AND ADMINISTRATION</t>
  </si>
  <si>
    <t>RESEARCH AND DEVELOPMENT</t>
  </si>
  <si>
    <t>EBT (Earnings Before Tax)</t>
  </si>
  <si>
    <t>TAX (35%)</t>
  </si>
  <si>
    <t>NET INCOME</t>
  </si>
  <si>
    <t>TRANSACTION NUMBER</t>
  </si>
  <si>
    <t>TOTAL WAGE PAYABLE</t>
  </si>
  <si>
    <t>Total Wage</t>
  </si>
  <si>
    <t>LIST OF SUPPLIERS</t>
  </si>
  <si>
    <t>EMPLOYEES</t>
  </si>
  <si>
    <t>USER</t>
  </si>
  <si>
    <t>LOGIN</t>
  </si>
  <si>
    <t>LOGOUT</t>
  </si>
  <si>
    <t>Manager Sam</t>
  </si>
  <si>
    <t>Kevin</t>
  </si>
  <si>
    <t>Adell</t>
  </si>
  <si>
    <t>TYPE</t>
  </si>
  <si>
    <t>COGS</t>
  </si>
  <si>
    <t>SGA</t>
  </si>
  <si>
    <t>RD</t>
  </si>
  <si>
    <t>Worker Kevin</t>
  </si>
  <si>
    <t>Eamon</t>
  </si>
  <si>
    <t>Frank</t>
  </si>
  <si>
    <t>TYPES OF TRANSACTIONS</t>
  </si>
  <si>
    <t>Worker Eamon</t>
  </si>
  <si>
    <t>Owen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</si>
</sst>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&quot;$&quot;* #,##0_-;\-&quot;$&quot;* #,##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60"/>
      <color rgb="FF000000"/>
      <name val="Calibri"/>
      <family val="2"/>
    </font>
    <font>
      <sz val="5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164" fontId="0" fillId="0" borderId="0" xfId="1" applyFont="1"/>
    <xf numFmtId="164" fontId="0" fillId="0" borderId="0" xfId="0" applyNumberFormat="1"/>
    <xf numFmtId="165" fontId="0" fillId="0" borderId="0" xfId="1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22" fontId="0" fillId="0" borderId="0" xfId="0" applyNumberFormat="1"/>
    <xf numFmtId="0" fontId="0" fillId="0" borderId="0" xfId="0" applyNumberFormat="1"/>
    <xf numFmtId="44" fontId="0" fillId="0" borderId="0" xfId="0" applyNumberFormat="1"/>
    <xf numFmtId="166" fontId="0" fillId="0" borderId="0" xfId="1" applyNumberFormat="1" applyFont="1"/>
    <xf numFmtId="165" fontId="0" fillId="0" borderId="1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165" fontId="0" fillId="0" borderId="7" xfId="1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5</xdr:row>
          <xdr:rowOff>19050</xdr:rowOff>
        </xdr:from>
        <xdr:to>
          <xdr:col>12</xdr:col>
          <xdr:colOff>0</xdr:colOff>
          <xdr:row>14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A" sz="6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16</xdr:row>
          <xdr:rowOff>9525</xdr:rowOff>
        </xdr:from>
        <xdr:to>
          <xdr:col>11</xdr:col>
          <xdr:colOff>628650</xdr:colOff>
          <xdr:row>25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CA" sz="5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2</xdr:row>
          <xdr:rowOff>9525</xdr:rowOff>
        </xdr:from>
        <xdr:to>
          <xdr:col>5</xdr:col>
          <xdr:colOff>19050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6</xdr:row>
          <xdr:rowOff>66675</xdr:rowOff>
        </xdr:from>
        <xdr:to>
          <xdr:col>5</xdr:col>
          <xdr:colOff>9525</xdr:colOff>
          <xdr:row>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10</xdr:row>
          <xdr:rowOff>66675</xdr:rowOff>
        </xdr:from>
        <xdr:to>
          <xdr:col>4</xdr:col>
          <xdr:colOff>638175</xdr:colOff>
          <xdr:row>14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2</xdr:row>
          <xdr:rowOff>9525</xdr:rowOff>
        </xdr:from>
        <xdr:to>
          <xdr:col>5</xdr:col>
          <xdr:colOff>19050</xdr:colOff>
          <xdr:row>5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6</xdr:row>
          <xdr:rowOff>66675</xdr:rowOff>
        </xdr:from>
        <xdr:to>
          <xdr:col>5</xdr:col>
          <xdr:colOff>9525</xdr:colOff>
          <xdr:row>9</xdr:row>
          <xdr:rowOff>161925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66675</xdr:rowOff>
        </xdr:from>
        <xdr:to>
          <xdr:col>4</xdr:col>
          <xdr:colOff>638175</xdr:colOff>
          <xdr:row>14</xdr:row>
          <xdr:rowOff>9525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TRANSACTION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CE0A-4605-4E23-8181-F962600C8CC7}">
  <sheetPr codeName="Sheet5"/>
  <dimension ref="A1"/>
  <sheetViews>
    <sheetView tabSelected="1" topLeftCell="A4" workbookViewId="0">
      <selection activeCell="M3" sqref="M3"/>
    </sheetView>
  </sheetViews>
  <sheetFormatPr defaultRowHeight="15" x14ac:dyDescent="0.25"/>
  <cols>
    <col min="14" max="14" width="11.42578125" bestFit="1" customWidth="1"/>
    <col min="15" max="15" width="15.2851562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itiate.initiate">
                <anchor moveWithCells="1" sizeWithCells="1">
                  <from>
                    <xdr:col>1</xdr:col>
                    <xdr:colOff>638175</xdr:colOff>
                    <xdr:row>5</xdr:row>
                    <xdr:rowOff>19050</xdr:rowOff>
                  </from>
                  <to>
                    <xdr:col>12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ogout.logout">
                <anchor moveWithCells="1" sizeWithCells="1">
                  <from>
                    <xdr:col>1</xdr:col>
                    <xdr:colOff>638175</xdr:colOff>
                    <xdr:row>16</xdr:row>
                    <xdr:rowOff>9525</xdr:rowOff>
                  </from>
                  <to>
                    <xdr:col>11</xdr:col>
                    <xdr:colOff>628650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BAF0-5BC8-43D4-8B80-3B1223E16694}">
  <sheetPr codeName="Sheet1"/>
  <dimension ref="D1:Q252"/>
  <sheetViews>
    <sheetView topLeftCell="A223" workbookViewId="0">
      <selection activeCell="M251" sqref="M251"/>
    </sheetView>
  </sheetViews>
  <sheetFormatPr defaultRowHeight="15" x14ac:dyDescent="0.25"/>
  <cols>
    <col min="2" max="2" width="16.42578125" bestFit="1" customWidth="1"/>
    <col min="3" max="4" width="10.85546875" bestFit="1" customWidth="1"/>
    <col min="8" max="8" width="14.140625" bestFit="1" customWidth="1"/>
    <col min="9" max="9" width="10.28515625" bestFit="1" customWidth="1"/>
    <col min="10" max="10" width="13.140625" bestFit="1" customWidth="1"/>
    <col min="11" max="11" width="10.7109375" bestFit="1" customWidth="1"/>
    <col min="14" max="14" width="10.140625" style="4" bestFit="1" customWidth="1"/>
    <col min="15" max="15" width="13.85546875" style="4" bestFit="1" customWidth="1"/>
    <col min="16" max="16" width="9" bestFit="1" customWidth="1"/>
    <col min="17" max="17" width="13.42578125" bestFit="1" customWidth="1"/>
  </cols>
  <sheetData>
    <row r="1" spans="7:17" x14ac:dyDescent="0.25">
      <c r="H1" t="s">
        <v>0</v>
      </c>
      <c r="I1" t="s">
        <v>4</v>
      </c>
      <c r="J1" t="s">
        <v>3</v>
      </c>
      <c r="K1" t="s">
        <v>5</v>
      </c>
      <c r="L1" t="s">
        <v>1</v>
      </c>
      <c r="M1" t="s">
        <v>2</v>
      </c>
      <c r="N1" s="4" t="s">
        <v>66</v>
      </c>
      <c r="O1" s="4" t="s">
        <v>6</v>
      </c>
    </row>
    <row r="2" spans="7:17" x14ac:dyDescent="0.25">
      <c r="G2" s="3"/>
      <c r="H2">
        <v>8001</v>
      </c>
      <c r="I2" s="3">
        <v>43109</v>
      </c>
      <c r="J2" t="s">
        <v>45</v>
      </c>
      <c r="K2" t="s">
        <v>53</v>
      </c>
      <c r="L2" t="s">
        <v>34</v>
      </c>
      <c r="M2">
        <v>1</v>
      </c>
      <c r="N2" s="4">
        <v>0</v>
      </c>
      <c r="O2" s="4">
        <f>VLOOKUP(L2,Info!$A$3:$B$26,2,0)*M2-N2</f>
        <v>6000</v>
      </c>
      <c r="Q2" s="5"/>
    </row>
    <row r="3" spans="7:17" x14ac:dyDescent="0.25">
      <c r="H3">
        <v>8002</v>
      </c>
      <c r="I3" s="3">
        <v>43110</v>
      </c>
      <c r="J3" t="s">
        <v>42</v>
      </c>
      <c r="K3" t="s">
        <v>58</v>
      </c>
      <c r="L3" t="s">
        <v>22</v>
      </c>
      <c r="M3">
        <v>2</v>
      </c>
      <c r="N3" s="4">
        <v>0</v>
      </c>
      <c r="O3" s="4">
        <f>VLOOKUP(L3,Info!$A$3:$B$26,2,0)*M3-N3</f>
        <v>9000</v>
      </c>
    </row>
    <row r="4" spans="7:17" x14ac:dyDescent="0.25">
      <c r="H4">
        <v>8004</v>
      </c>
      <c r="I4" s="3">
        <v>43133</v>
      </c>
      <c r="J4" t="s">
        <v>44</v>
      </c>
      <c r="K4" t="s">
        <v>58</v>
      </c>
      <c r="L4" t="s">
        <v>37</v>
      </c>
      <c r="M4">
        <v>4</v>
      </c>
      <c r="N4" s="4">
        <v>0</v>
      </c>
      <c r="O4" s="4">
        <v>20000</v>
      </c>
    </row>
    <row r="5" spans="7:17" x14ac:dyDescent="0.25">
      <c r="H5">
        <v>8005</v>
      </c>
      <c r="I5" s="3">
        <v>43137</v>
      </c>
      <c r="J5" t="s">
        <v>49</v>
      </c>
      <c r="K5" t="s">
        <v>65</v>
      </c>
      <c r="L5" t="s">
        <v>38</v>
      </c>
      <c r="M5">
        <v>1</v>
      </c>
      <c r="N5" s="4">
        <v>0</v>
      </c>
      <c r="O5" s="4">
        <v>4000</v>
      </c>
    </row>
    <row r="6" spans="7:17" x14ac:dyDescent="0.25">
      <c r="H6">
        <v>8007</v>
      </c>
      <c r="I6" s="3">
        <v>43143</v>
      </c>
      <c r="J6" t="s">
        <v>42</v>
      </c>
      <c r="K6" t="s">
        <v>106</v>
      </c>
      <c r="L6" t="s">
        <v>20</v>
      </c>
      <c r="M6">
        <v>1</v>
      </c>
      <c r="N6" s="4">
        <v>0</v>
      </c>
      <c r="O6" s="4">
        <v>7500</v>
      </c>
    </row>
    <row r="7" spans="7:17" x14ac:dyDescent="0.25">
      <c r="H7">
        <v>8009</v>
      </c>
      <c r="I7" s="3">
        <v>43145</v>
      </c>
      <c r="J7" t="s">
        <v>52</v>
      </c>
      <c r="K7" t="s">
        <v>59</v>
      </c>
      <c r="L7" t="s">
        <v>28</v>
      </c>
      <c r="M7">
        <v>2</v>
      </c>
      <c r="N7" s="4">
        <v>0</v>
      </c>
      <c r="O7" s="4">
        <v>15000</v>
      </c>
    </row>
    <row r="8" spans="7:17" x14ac:dyDescent="0.25">
      <c r="H8">
        <v>8010</v>
      </c>
      <c r="I8" s="3">
        <v>43147</v>
      </c>
      <c r="J8" t="s">
        <v>49</v>
      </c>
      <c r="K8" t="s">
        <v>57</v>
      </c>
      <c r="L8" t="s">
        <v>35</v>
      </c>
      <c r="M8">
        <v>4</v>
      </c>
      <c r="N8" s="4">
        <v>0</v>
      </c>
      <c r="O8" s="4">
        <v>30000</v>
      </c>
    </row>
    <row r="9" spans="7:17" x14ac:dyDescent="0.25">
      <c r="H9">
        <v>8011</v>
      </c>
      <c r="I9" s="3">
        <v>43151</v>
      </c>
      <c r="J9" t="s">
        <v>50</v>
      </c>
      <c r="K9" t="s">
        <v>63</v>
      </c>
      <c r="L9" t="s">
        <v>23</v>
      </c>
      <c r="M9">
        <v>3</v>
      </c>
      <c r="N9" s="4">
        <v>0</v>
      </c>
      <c r="O9" s="4">
        <v>10500</v>
      </c>
    </row>
    <row r="10" spans="7:17" x14ac:dyDescent="0.25">
      <c r="H10">
        <v>8013</v>
      </c>
      <c r="I10" s="3">
        <v>43168</v>
      </c>
      <c r="J10" t="s">
        <v>45</v>
      </c>
      <c r="K10" t="s">
        <v>61</v>
      </c>
      <c r="L10" t="s">
        <v>34</v>
      </c>
      <c r="M10">
        <v>5</v>
      </c>
      <c r="N10" s="4">
        <v>0</v>
      </c>
      <c r="O10" s="4">
        <v>30000</v>
      </c>
    </row>
    <row r="11" spans="7:17" x14ac:dyDescent="0.25">
      <c r="H11">
        <v>8014</v>
      </c>
      <c r="I11" s="3">
        <v>43176</v>
      </c>
      <c r="J11" t="s">
        <v>45</v>
      </c>
      <c r="K11" t="s">
        <v>53</v>
      </c>
      <c r="L11" t="s">
        <v>26</v>
      </c>
      <c r="M11">
        <v>1</v>
      </c>
      <c r="N11" s="4">
        <v>0</v>
      </c>
      <c r="O11" s="4">
        <v>2500</v>
      </c>
    </row>
    <row r="12" spans="7:17" x14ac:dyDescent="0.25">
      <c r="H12">
        <v>8015</v>
      </c>
      <c r="I12" s="3">
        <v>43179</v>
      </c>
      <c r="J12" t="s">
        <v>47</v>
      </c>
      <c r="K12" t="s">
        <v>60</v>
      </c>
      <c r="L12" t="s">
        <v>27</v>
      </c>
      <c r="M12">
        <v>4</v>
      </c>
      <c r="N12" s="4">
        <v>0</v>
      </c>
      <c r="O12" s="4">
        <v>18000</v>
      </c>
    </row>
    <row r="13" spans="7:17" x14ac:dyDescent="0.25">
      <c r="H13">
        <v>8016</v>
      </c>
      <c r="I13" s="3">
        <v>43184</v>
      </c>
      <c r="J13" t="s">
        <v>46</v>
      </c>
      <c r="K13" t="s">
        <v>53</v>
      </c>
      <c r="L13" t="s">
        <v>27</v>
      </c>
      <c r="M13">
        <v>4</v>
      </c>
      <c r="N13" s="4">
        <v>0</v>
      </c>
      <c r="O13" s="4">
        <v>18000</v>
      </c>
    </row>
    <row r="14" spans="7:17" x14ac:dyDescent="0.25">
      <c r="H14">
        <v>8017</v>
      </c>
      <c r="I14" s="3">
        <v>43185</v>
      </c>
      <c r="J14" t="s">
        <v>44</v>
      </c>
      <c r="K14" t="s">
        <v>105</v>
      </c>
      <c r="L14" t="s">
        <v>28</v>
      </c>
      <c r="M14">
        <v>3</v>
      </c>
      <c r="N14" s="4">
        <v>0</v>
      </c>
      <c r="O14" s="4">
        <v>22500</v>
      </c>
    </row>
    <row r="15" spans="7:17" x14ac:dyDescent="0.25">
      <c r="H15">
        <v>8018</v>
      </c>
      <c r="I15" s="3">
        <v>43191</v>
      </c>
      <c r="J15" t="s">
        <v>43</v>
      </c>
      <c r="K15" t="s">
        <v>65</v>
      </c>
      <c r="L15" t="s">
        <v>39</v>
      </c>
      <c r="M15">
        <v>2</v>
      </c>
      <c r="N15" s="4">
        <v>0</v>
      </c>
      <c r="O15" s="4">
        <v>25000</v>
      </c>
    </row>
    <row r="16" spans="7:17" x14ac:dyDescent="0.25">
      <c r="H16">
        <v>8019</v>
      </c>
      <c r="I16" s="3">
        <v>43196</v>
      </c>
      <c r="J16" t="s">
        <v>51</v>
      </c>
      <c r="K16" t="s">
        <v>59</v>
      </c>
      <c r="L16" t="s">
        <v>23</v>
      </c>
      <c r="M16">
        <v>2</v>
      </c>
      <c r="N16" s="4">
        <v>0</v>
      </c>
      <c r="O16" s="4">
        <v>7000</v>
      </c>
    </row>
    <row r="17" spans="4:15" x14ac:dyDescent="0.25">
      <c r="H17">
        <v>8020</v>
      </c>
      <c r="I17" s="3">
        <v>43197</v>
      </c>
      <c r="J17" t="s">
        <v>42</v>
      </c>
      <c r="K17" t="s">
        <v>64</v>
      </c>
      <c r="L17" t="s">
        <v>39</v>
      </c>
      <c r="M17">
        <v>2</v>
      </c>
      <c r="N17" s="4">
        <v>0</v>
      </c>
      <c r="O17" s="4">
        <v>25000</v>
      </c>
    </row>
    <row r="18" spans="4:15" x14ac:dyDescent="0.25">
      <c r="H18">
        <v>8021</v>
      </c>
      <c r="I18" s="3">
        <v>43203</v>
      </c>
      <c r="J18" t="s">
        <v>49</v>
      </c>
      <c r="K18" t="s">
        <v>65</v>
      </c>
      <c r="L18" t="s">
        <v>27</v>
      </c>
      <c r="M18">
        <v>2</v>
      </c>
      <c r="N18" s="4">
        <v>0</v>
      </c>
      <c r="O18" s="4">
        <v>9000</v>
      </c>
    </row>
    <row r="19" spans="4:15" x14ac:dyDescent="0.25">
      <c r="D19" s="5"/>
      <c r="H19">
        <v>8022</v>
      </c>
      <c r="I19" s="3">
        <v>43206</v>
      </c>
      <c r="J19" t="s">
        <v>51</v>
      </c>
      <c r="K19" t="s">
        <v>65</v>
      </c>
      <c r="L19" t="s">
        <v>24</v>
      </c>
      <c r="M19">
        <v>1</v>
      </c>
      <c r="N19" s="4">
        <v>0</v>
      </c>
      <c r="O19" s="4">
        <v>9000</v>
      </c>
    </row>
    <row r="20" spans="4:15" x14ac:dyDescent="0.25">
      <c r="D20" s="5"/>
      <c r="H20">
        <v>8023</v>
      </c>
      <c r="I20" s="3">
        <v>43214</v>
      </c>
      <c r="J20" t="s">
        <v>48</v>
      </c>
      <c r="K20" t="s">
        <v>58</v>
      </c>
      <c r="L20" t="s">
        <v>23</v>
      </c>
      <c r="M20">
        <v>3</v>
      </c>
      <c r="N20" s="4">
        <v>0</v>
      </c>
      <c r="O20" s="4">
        <v>10500</v>
      </c>
    </row>
    <row r="21" spans="4:15" x14ac:dyDescent="0.25">
      <c r="D21" s="5"/>
      <c r="H21">
        <v>8024</v>
      </c>
      <c r="I21" s="3">
        <v>43216</v>
      </c>
      <c r="J21" t="s">
        <v>47</v>
      </c>
      <c r="K21" t="s">
        <v>53</v>
      </c>
      <c r="L21" t="s">
        <v>28</v>
      </c>
      <c r="M21">
        <v>2</v>
      </c>
      <c r="N21" s="4">
        <v>0</v>
      </c>
      <c r="O21" s="4">
        <v>7500</v>
      </c>
    </row>
    <row r="22" spans="4:15" x14ac:dyDescent="0.25">
      <c r="D22" s="5"/>
      <c r="H22">
        <v>8025</v>
      </c>
      <c r="I22" s="3">
        <v>43218</v>
      </c>
      <c r="J22" t="s">
        <v>42</v>
      </c>
      <c r="K22" t="s">
        <v>53</v>
      </c>
      <c r="L22" t="s">
        <v>20</v>
      </c>
      <c r="M22">
        <v>2</v>
      </c>
      <c r="N22" s="4">
        <v>0</v>
      </c>
      <c r="O22" s="4">
        <v>15000</v>
      </c>
    </row>
    <row r="23" spans="4:15" x14ac:dyDescent="0.25">
      <c r="D23" s="5"/>
      <c r="H23">
        <v>8026</v>
      </c>
      <c r="I23" s="3">
        <v>43219</v>
      </c>
      <c r="J23" t="s">
        <v>44</v>
      </c>
      <c r="K23" t="s">
        <v>55</v>
      </c>
      <c r="L23" t="s">
        <v>35</v>
      </c>
      <c r="M23">
        <v>2</v>
      </c>
      <c r="N23" s="4">
        <v>0</v>
      </c>
      <c r="O23" s="4">
        <v>15000</v>
      </c>
    </row>
    <row r="24" spans="4:15" x14ac:dyDescent="0.25">
      <c r="D24" s="5"/>
      <c r="H24">
        <v>8027</v>
      </c>
      <c r="I24" s="3">
        <v>43221</v>
      </c>
      <c r="J24" t="s">
        <v>47</v>
      </c>
      <c r="K24" t="s">
        <v>63</v>
      </c>
      <c r="L24" t="s">
        <v>23</v>
      </c>
      <c r="M24">
        <v>1</v>
      </c>
      <c r="N24" s="4">
        <v>0</v>
      </c>
      <c r="O24" s="4">
        <v>3500</v>
      </c>
    </row>
    <row r="25" spans="4:15" x14ac:dyDescent="0.25">
      <c r="D25" s="5"/>
      <c r="H25">
        <v>8029</v>
      </c>
      <c r="I25" s="3">
        <v>43235</v>
      </c>
      <c r="J25" t="s">
        <v>42</v>
      </c>
      <c r="K25" t="s">
        <v>63</v>
      </c>
      <c r="L25" t="s">
        <v>35</v>
      </c>
      <c r="M25">
        <v>2</v>
      </c>
      <c r="N25" s="4">
        <v>0</v>
      </c>
      <c r="O25" s="4">
        <v>15000</v>
      </c>
    </row>
    <row r="26" spans="4:15" x14ac:dyDescent="0.25">
      <c r="D26" s="5"/>
      <c r="H26">
        <v>8030</v>
      </c>
      <c r="I26" s="3">
        <v>43241</v>
      </c>
      <c r="J26" t="s">
        <v>43</v>
      </c>
      <c r="K26" t="s">
        <v>60</v>
      </c>
      <c r="L26" t="s">
        <v>30</v>
      </c>
      <c r="M26">
        <v>3</v>
      </c>
      <c r="N26" s="4">
        <v>0</v>
      </c>
      <c r="O26" s="4">
        <v>27000</v>
      </c>
    </row>
    <row r="27" spans="4:15" x14ac:dyDescent="0.25">
      <c r="D27" s="5"/>
      <c r="H27">
        <v>8031</v>
      </c>
      <c r="I27" s="3">
        <v>43243</v>
      </c>
      <c r="J27" t="s">
        <v>42</v>
      </c>
      <c r="K27" t="s">
        <v>60</v>
      </c>
      <c r="L27" t="s">
        <v>22</v>
      </c>
      <c r="M27">
        <v>1</v>
      </c>
      <c r="N27" s="4">
        <v>0</v>
      </c>
      <c r="O27" s="4">
        <v>4500</v>
      </c>
    </row>
    <row r="28" spans="4:15" x14ac:dyDescent="0.25">
      <c r="D28" s="5"/>
      <c r="H28">
        <v>8032</v>
      </c>
      <c r="I28" s="3">
        <v>43244</v>
      </c>
      <c r="J28" t="s">
        <v>42</v>
      </c>
      <c r="K28" t="s">
        <v>58</v>
      </c>
      <c r="L28" t="s">
        <v>26</v>
      </c>
      <c r="M28">
        <v>1</v>
      </c>
      <c r="N28" s="4">
        <v>0</v>
      </c>
      <c r="O28" s="4">
        <v>2500</v>
      </c>
    </row>
    <row r="29" spans="4:15" x14ac:dyDescent="0.25">
      <c r="D29" s="5"/>
      <c r="H29">
        <v>8033</v>
      </c>
      <c r="I29" s="3">
        <v>43252</v>
      </c>
      <c r="J29" t="s">
        <v>49</v>
      </c>
      <c r="K29" t="s">
        <v>53</v>
      </c>
      <c r="L29" t="s">
        <v>36</v>
      </c>
      <c r="M29">
        <v>2</v>
      </c>
      <c r="N29" s="4">
        <v>0</v>
      </c>
      <c r="O29" s="4">
        <v>16000</v>
      </c>
    </row>
    <row r="30" spans="4:15" x14ac:dyDescent="0.25">
      <c r="D30" s="5"/>
      <c r="H30">
        <v>8034</v>
      </c>
      <c r="I30" s="3">
        <v>43253</v>
      </c>
      <c r="J30" t="s">
        <v>46</v>
      </c>
      <c r="K30" t="s">
        <v>63</v>
      </c>
      <c r="L30" t="s">
        <v>31</v>
      </c>
      <c r="M30">
        <v>1</v>
      </c>
      <c r="N30" s="4">
        <v>0</v>
      </c>
      <c r="O30" s="4">
        <v>11000</v>
      </c>
    </row>
    <row r="31" spans="4:15" x14ac:dyDescent="0.25">
      <c r="D31" s="5"/>
      <c r="H31">
        <v>8035</v>
      </c>
      <c r="I31" s="3">
        <v>43253</v>
      </c>
      <c r="J31" t="s">
        <v>45</v>
      </c>
      <c r="K31" t="s">
        <v>106</v>
      </c>
      <c r="L31" t="s">
        <v>24</v>
      </c>
      <c r="M31">
        <v>3</v>
      </c>
      <c r="N31" s="4">
        <v>0</v>
      </c>
      <c r="O31" s="4">
        <v>27000</v>
      </c>
    </row>
    <row r="32" spans="4:15" x14ac:dyDescent="0.25">
      <c r="D32" s="5"/>
      <c r="H32">
        <v>8036</v>
      </c>
      <c r="I32" s="3">
        <v>43255</v>
      </c>
      <c r="J32" t="s">
        <v>49</v>
      </c>
      <c r="K32" t="s">
        <v>65</v>
      </c>
      <c r="L32" t="s">
        <v>41</v>
      </c>
      <c r="M32">
        <v>2</v>
      </c>
      <c r="N32" s="4">
        <v>0</v>
      </c>
      <c r="O32" s="4">
        <v>8000</v>
      </c>
    </row>
    <row r="33" spans="4:15" x14ac:dyDescent="0.25">
      <c r="D33" s="5"/>
      <c r="H33">
        <v>8037</v>
      </c>
      <c r="I33" s="3">
        <v>43268</v>
      </c>
      <c r="J33" t="s">
        <v>42</v>
      </c>
      <c r="K33" t="s">
        <v>65</v>
      </c>
      <c r="L33" t="s">
        <v>23</v>
      </c>
      <c r="M33">
        <v>1</v>
      </c>
      <c r="N33" s="4">
        <v>0</v>
      </c>
      <c r="O33" s="4">
        <v>3500</v>
      </c>
    </row>
    <row r="34" spans="4:15" x14ac:dyDescent="0.25">
      <c r="D34" s="5"/>
      <c r="H34">
        <v>8038</v>
      </c>
      <c r="I34" s="3">
        <v>43269</v>
      </c>
      <c r="J34" t="s">
        <v>42</v>
      </c>
      <c r="K34" t="s">
        <v>60</v>
      </c>
      <c r="L34" t="s">
        <v>35</v>
      </c>
      <c r="M34">
        <v>1</v>
      </c>
      <c r="N34" s="4">
        <v>0</v>
      </c>
      <c r="O34" s="4">
        <v>7500</v>
      </c>
    </row>
    <row r="35" spans="4:15" x14ac:dyDescent="0.25">
      <c r="D35" s="5"/>
      <c r="H35">
        <v>8039</v>
      </c>
      <c r="I35" s="3">
        <v>43273</v>
      </c>
      <c r="J35" t="s">
        <v>46</v>
      </c>
      <c r="K35" t="s">
        <v>60</v>
      </c>
      <c r="L35" t="s">
        <v>36</v>
      </c>
      <c r="M35">
        <v>1</v>
      </c>
      <c r="N35" s="4">
        <v>0</v>
      </c>
      <c r="O35" s="4">
        <v>8000</v>
      </c>
    </row>
    <row r="36" spans="4:15" x14ac:dyDescent="0.25">
      <c r="D36" s="5"/>
      <c r="H36">
        <v>8040</v>
      </c>
      <c r="I36" s="3">
        <v>43279</v>
      </c>
      <c r="J36" t="s">
        <v>49</v>
      </c>
      <c r="K36" t="s">
        <v>61</v>
      </c>
      <c r="L36" t="s">
        <v>38</v>
      </c>
      <c r="M36">
        <v>3</v>
      </c>
      <c r="N36" s="4">
        <v>0</v>
      </c>
      <c r="O36" s="4">
        <v>12000</v>
      </c>
    </row>
    <row r="37" spans="4:15" x14ac:dyDescent="0.25">
      <c r="D37" s="5"/>
      <c r="H37">
        <v>8041</v>
      </c>
      <c r="I37" s="3">
        <v>43301</v>
      </c>
      <c r="J37" t="s">
        <v>45</v>
      </c>
      <c r="K37" t="s">
        <v>57</v>
      </c>
      <c r="L37" t="s">
        <v>20</v>
      </c>
      <c r="M37">
        <v>1</v>
      </c>
      <c r="N37" s="4">
        <v>0</v>
      </c>
      <c r="O37" s="4">
        <v>7500</v>
      </c>
    </row>
    <row r="38" spans="4:15" x14ac:dyDescent="0.25">
      <c r="D38" s="5"/>
      <c r="H38">
        <v>8042</v>
      </c>
      <c r="I38" s="3">
        <v>43306</v>
      </c>
      <c r="J38" t="s">
        <v>48</v>
      </c>
      <c r="K38" t="s">
        <v>64</v>
      </c>
      <c r="L38" t="s">
        <v>35</v>
      </c>
      <c r="M38">
        <v>1</v>
      </c>
      <c r="N38" s="4">
        <v>0</v>
      </c>
      <c r="O38" s="4">
        <v>7500</v>
      </c>
    </row>
    <row r="39" spans="4:15" x14ac:dyDescent="0.25">
      <c r="D39" s="5"/>
      <c r="H39">
        <v>8043</v>
      </c>
      <c r="I39" s="3">
        <v>43307</v>
      </c>
      <c r="J39" t="s">
        <v>52</v>
      </c>
      <c r="K39" t="s">
        <v>53</v>
      </c>
      <c r="L39" t="s">
        <v>26</v>
      </c>
      <c r="M39">
        <v>1</v>
      </c>
      <c r="N39" s="4">
        <v>0</v>
      </c>
      <c r="O39" s="4">
        <v>2500</v>
      </c>
    </row>
    <row r="40" spans="4:15" x14ac:dyDescent="0.25">
      <c r="D40" s="5"/>
      <c r="H40">
        <v>8044</v>
      </c>
      <c r="I40" s="3">
        <v>43309</v>
      </c>
      <c r="J40" t="s">
        <v>49</v>
      </c>
      <c r="K40" t="s">
        <v>56</v>
      </c>
      <c r="L40" t="s">
        <v>29</v>
      </c>
      <c r="M40">
        <v>4</v>
      </c>
      <c r="N40" s="4">
        <v>0</v>
      </c>
      <c r="O40" s="4">
        <v>36000</v>
      </c>
    </row>
    <row r="41" spans="4:15" x14ac:dyDescent="0.25">
      <c r="D41" s="5"/>
      <c r="H41">
        <v>8045</v>
      </c>
      <c r="I41" s="3">
        <v>43319</v>
      </c>
      <c r="J41" t="s">
        <v>49</v>
      </c>
      <c r="K41" t="s">
        <v>53</v>
      </c>
      <c r="L41" t="s">
        <v>41</v>
      </c>
      <c r="M41">
        <v>3</v>
      </c>
      <c r="N41" s="4">
        <v>0</v>
      </c>
      <c r="O41" s="4">
        <v>12000</v>
      </c>
    </row>
    <row r="42" spans="4:15" x14ac:dyDescent="0.25">
      <c r="D42" s="5"/>
      <c r="H42">
        <v>8046</v>
      </c>
      <c r="I42" s="3">
        <v>43325</v>
      </c>
      <c r="J42" t="s">
        <v>52</v>
      </c>
      <c r="K42" t="s">
        <v>106</v>
      </c>
      <c r="L42" t="s">
        <v>22</v>
      </c>
      <c r="M42">
        <v>3</v>
      </c>
      <c r="N42" s="4">
        <v>0</v>
      </c>
      <c r="O42" s="4">
        <v>13500</v>
      </c>
    </row>
    <row r="43" spans="4:15" x14ac:dyDescent="0.25">
      <c r="H43">
        <v>8047</v>
      </c>
      <c r="I43" s="3">
        <v>43329</v>
      </c>
      <c r="J43" t="s">
        <v>50</v>
      </c>
      <c r="K43" t="s">
        <v>64</v>
      </c>
      <c r="L43" t="s">
        <v>35</v>
      </c>
      <c r="M43">
        <v>1</v>
      </c>
      <c r="N43" s="4">
        <v>0</v>
      </c>
      <c r="O43" s="4">
        <v>7500</v>
      </c>
    </row>
    <row r="44" spans="4:15" x14ac:dyDescent="0.25">
      <c r="H44">
        <v>8048</v>
      </c>
      <c r="I44" s="3">
        <v>43333</v>
      </c>
      <c r="J44" t="s">
        <v>47</v>
      </c>
      <c r="K44" t="s">
        <v>64</v>
      </c>
      <c r="L44" t="s">
        <v>23</v>
      </c>
      <c r="M44">
        <v>3</v>
      </c>
      <c r="N44" s="4">
        <v>0</v>
      </c>
      <c r="O44" s="4">
        <v>10500</v>
      </c>
    </row>
    <row r="45" spans="4:15" x14ac:dyDescent="0.25">
      <c r="H45">
        <v>8049</v>
      </c>
      <c r="I45" s="3">
        <v>43348</v>
      </c>
      <c r="J45" t="s">
        <v>51</v>
      </c>
      <c r="K45" t="s">
        <v>63</v>
      </c>
      <c r="L45" t="s">
        <v>39</v>
      </c>
      <c r="M45">
        <v>1</v>
      </c>
      <c r="N45" s="4">
        <v>0</v>
      </c>
      <c r="O45" s="4">
        <v>12500</v>
      </c>
    </row>
    <row r="46" spans="4:15" x14ac:dyDescent="0.25">
      <c r="H46">
        <v>8050</v>
      </c>
      <c r="I46" s="3">
        <v>43349</v>
      </c>
      <c r="J46" t="s">
        <v>43</v>
      </c>
      <c r="K46" t="s">
        <v>65</v>
      </c>
      <c r="L46" t="s">
        <v>19</v>
      </c>
      <c r="M46">
        <v>2</v>
      </c>
      <c r="N46" s="4">
        <v>0</v>
      </c>
      <c r="O46" s="4">
        <v>12000</v>
      </c>
    </row>
    <row r="47" spans="4:15" x14ac:dyDescent="0.25">
      <c r="H47">
        <v>8051</v>
      </c>
      <c r="I47" s="3">
        <v>43350</v>
      </c>
      <c r="J47" t="s">
        <v>47</v>
      </c>
      <c r="K47" t="s">
        <v>65</v>
      </c>
      <c r="L47" t="s">
        <v>32</v>
      </c>
      <c r="M47">
        <v>1</v>
      </c>
      <c r="N47" s="4">
        <v>0</v>
      </c>
      <c r="O47" s="4">
        <v>3000</v>
      </c>
    </row>
    <row r="48" spans="4:15" x14ac:dyDescent="0.25">
      <c r="H48">
        <v>8052</v>
      </c>
      <c r="I48" s="3">
        <v>43354</v>
      </c>
      <c r="J48" t="s">
        <v>49</v>
      </c>
      <c r="K48" t="s">
        <v>55</v>
      </c>
      <c r="L48" t="s">
        <v>35</v>
      </c>
      <c r="M48">
        <v>1</v>
      </c>
      <c r="N48" s="4">
        <v>0</v>
      </c>
      <c r="O48" s="4">
        <v>7500</v>
      </c>
    </row>
    <row r="49" spans="8:15" x14ac:dyDescent="0.25">
      <c r="H49">
        <v>8053</v>
      </c>
      <c r="I49" s="3">
        <v>43356</v>
      </c>
      <c r="J49" t="s">
        <v>52</v>
      </c>
      <c r="K49" t="s">
        <v>65</v>
      </c>
      <c r="L49" t="s">
        <v>20</v>
      </c>
      <c r="M49">
        <v>3</v>
      </c>
      <c r="N49" s="4">
        <v>0</v>
      </c>
      <c r="O49" s="4">
        <v>22500</v>
      </c>
    </row>
    <row r="50" spans="8:15" x14ac:dyDescent="0.25">
      <c r="H50">
        <v>8054</v>
      </c>
      <c r="I50" s="3">
        <v>43361</v>
      </c>
      <c r="J50" t="s">
        <v>46</v>
      </c>
      <c r="K50" t="s">
        <v>58</v>
      </c>
      <c r="L50" t="s">
        <v>35</v>
      </c>
      <c r="M50">
        <v>2</v>
      </c>
      <c r="N50" s="4">
        <v>0</v>
      </c>
      <c r="O50" s="4">
        <v>15000</v>
      </c>
    </row>
    <row r="51" spans="8:15" x14ac:dyDescent="0.25">
      <c r="H51">
        <v>8055</v>
      </c>
      <c r="I51" s="3">
        <v>43362</v>
      </c>
      <c r="J51" t="s">
        <v>44</v>
      </c>
      <c r="K51" t="s">
        <v>53</v>
      </c>
      <c r="L51" t="s">
        <v>32</v>
      </c>
      <c r="M51">
        <v>1</v>
      </c>
      <c r="N51" s="4">
        <v>0</v>
      </c>
      <c r="O51" s="4">
        <v>3000</v>
      </c>
    </row>
    <row r="52" spans="8:15" x14ac:dyDescent="0.25">
      <c r="H52">
        <v>8056</v>
      </c>
      <c r="I52" s="3">
        <v>43362</v>
      </c>
      <c r="J52" t="s">
        <v>45</v>
      </c>
      <c r="K52" t="s">
        <v>65</v>
      </c>
      <c r="L52" t="s">
        <v>27</v>
      </c>
      <c r="M52">
        <v>1</v>
      </c>
      <c r="N52" s="4">
        <v>0</v>
      </c>
      <c r="O52" s="4">
        <v>4500</v>
      </c>
    </row>
    <row r="53" spans="8:15" x14ac:dyDescent="0.25">
      <c r="H53">
        <v>8057</v>
      </c>
      <c r="I53" s="3">
        <v>43364</v>
      </c>
      <c r="J53" t="s">
        <v>45</v>
      </c>
      <c r="K53" t="s">
        <v>60</v>
      </c>
      <c r="L53" t="s">
        <v>35</v>
      </c>
      <c r="M53">
        <v>1</v>
      </c>
      <c r="N53" s="4">
        <v>0</v>
      </c>
      <c r="O53" s="4">
        <v>7500</v>
      </c>
    </row>
    <row r="54" spans="8:15" x14ac:dyDescent="0.25">
      <c r="H54">
        <v>8058</v>
      </c>
      <c r="I54" s="3">
        <v>43368</v>
      </c>
      <c r="J54" t="s">
        <v>47</v>
      </c>
      <c r="K54" t="s">
        <v>59</v>
      </c>
      <c r="L54" t="s">
        <v>35</v>
      </c>
      <c r="M54">
        <v>1</v>
      </c>
      <c r="N54" s="4">
        <v>0</v>
      </c>
      <c r="O54" s="4">
        <v>7500</v>
      </c>
    </row>
    <row r="55" spans="8:15" x14ac:dyDescent="0.25">
      <c r="H55">
        <v>8059</v>
      </c>
      <c r="I55" s="3">
        <v>43369</v>
      </c>
      <c r="J55" t="s">
        <v>48</v>
      </c>
      <c r="K55" t="s">
        <v>55</v>
      </c>
      <c r="L55" t="s">
        <v>33</v>
      </c>
      <c r="M55">
        <v>1</v>
      </c>
      <c r="N55" s="4">
        <v>0</v>
      </c>
      <c r="O55" s="4">
        <v>10000</v>
      </c>
    </row>
    <row r="56" spans="8:15" x14ac:dyDescent="0.25">
      <c r="H56">
        <v>8060</v>
      </c>
      <c r="I56" s="3">
        <v>43370</v>
      </c>
      <c r="J56" t="s">
        <v>45</v>
      </c>
      <c r="K56" t="s">
        <v>53</v>
      </c>
      <c r="L56" t="s">
        <v>24</v>
      </c>
      <c r="M56">
        <v>1</v>
      </c>
      <c r="N56" s="4">
        <v>0</v>
      </c>
      <c r="O56" s="4">
        <v>9000</v>
      </c>
    </row>
    <row r="57" spans="8:15" x14ac:dyDescent="0.25">
      <c r="H57">
        <v>8061</v>
      </c>
      <c r="I57" s="3">
        <v>43372</v>
      </c>
      <c r="J57" t="s">
        <v>48</v>
      </c>
      <c r="K57" t="s">
        <v>53</v>
      </c>
      <c r="L57" t="s">
        <v>40</v>
      </c>
      <c r="M57">
        <v>2</v>
      </c>
      <c r="N57" s="4">
        <v>0</v>
      </c>
      <c r="O57" s="4">
        <v>15000</v>
      </c>
    </row>
    <row r="58" spans="8:15" x14ac:dyDescent="0.25">
      <c r="H58">
        <v>8062</v>
      </c>
      <c r="I58" s="3">
        <v>43379</v>
      </c>
      <c r="J58" t="s">
        <v>52</v>
      </c>
      <c r="K58" t="s">
        <v>54</v>
      </c>
      <c r="L58" t="s">
        <v>41</v>
      </c>
      <c r="M58">
        <v>7</v>
      </c>
      <c r="N58" s="4">
        <v>0</v>
      </c>
      <c r="O58" s="4">
        <v>28000</v>
      </c>
    </row>
    <row r="59" spans="8:15" x14ac:dyDescent="0.25">
      <c r="H59">
        <v>8063</v>
      </c>
      <c r="I59" s="3">
        <v>43382</v>
      </c>
      <c r="J59" t="s">
        <v>43</v>
      </c>
      <c r="K59" t="s">
        <v>60</v>
      </c>
      <c r="L59" t="s">
        <v>28</v>
      </c>
      <c r="M59">
        <v>1</v>
      </c>
      <c r="N59" s="4">
        <v>0</v>
      </c>
      <c r="O59" s="4">
        <v>7500</v>
      </c>
    </row>
    <row r="60" spans="8:15" x14ac:dyDescent="0.25">
      <c r="H60">
        <v>8064</v>
      </c>
      <c r="I60" s="3">
        <v>43383</v>
      </c>
      <c r="J60" t="s">
        <v>51</v>
      </c>
      <c r="K60" t="s">
        <v>61</v>
      </c>
      <c r="L60" t="s">
        <v>19</v>
      </c>
      <c r="M60">
        <v>1</v>
      </c>
      <c r="N60" s="4">
        <v>0</v>
      </c>
      <c r="O60" s="4">
        <v>6000</v>
      </c>
    </row>
    <row r="61" spans="8:15" x14ac:dyDescent="0.25">
      <c r="H61">
        <v>8065</v>
      </c>
      <c r="I61" s="3">
        <v>43389</v>
      </c>
      <c r="J61" t="s">
        <v>47</v>
      </c>
      <c r="K61" t="s">
        <v>53</v>
      </c>
      <c r="L61" t="s">
        <v>34</v>
      </c>
      <c r="M61">
        <v>1</v>
      </c>
      <c r="N61" s="4">
        <v>0</v>
      </c>
      <c r="O61" s="4">
        <v>6000</v>
      </c>
    </row>
    <row r="62" spans="8:15" x14ac:dyDescent="0.25">
      <c r="H62">
        <v>8066</v>
      </c>
      <c r="I62" s="3">
        <v>43391</v>
      </c>
      <c r="J62" t="s">
        <v>52</v>
      </c>
      <c r="K62" t="s">
        <v>60</v>
      </c>
      <c r="L62" t="s">
        <v>35</v>
      </c>
      <c r="M62">
        <v>4</v>
      </c>
      <c r="N62" s="4">
        <v>0</v>
      </c>
      <c r="O62" s="4">
        <v>30000</v>
      </c>
    </row>
    <row r="63" spans="8:15" x14ac:dyDescent="0.25">
      <c r="H63">
        <v>8067</v>
      </c>
      <c r="I63" s="3">
        <v>43391</v>
      </c>
      <c r="J63" t="s">
        <v>51</v>
      </c>
      <c r="K63" t="s">
        <v>56</v>
      </c>
      <c r="L63" t="s">
        <v>35</v>
      </c>
      <c r="M63">
        <v>4</v>
      </c>
      <c r="N63" s="4">
        <v>0</v>
      </c>
      <c r="O63" s="4">
        <v>30000</v>
      </c>
    </row>
    <row r="64" spans="8:15" x14ac:dyDescent="0.25">
      <c r="H64">
        <v>8068</v>
      </c>
      <c r="I64" s="3">
        <v>43407</v>
      </c>
      <c r="J64" t="s">
        <v>52</v>
      </c>
      <c r="K64" t="s">
        <v>60</v>
      </c>
      <c r="L64" t="s">
        <v>37</v>
      </c>
      <c r="M64">
        <v>2</v>
      </c>
      <c r="N64" s="4">
        <v>0</v>
      </c>
      <c r="O64" s="4">
        <v>10000</v>
      </c>
    </row>
    <row r="65" spans="8:15" x14ac:dyDescent="0.25">
      <c r="H65">
        <v>8069</v>
      </c>
      <c r="I65" s="3">
        <v>43410</v>
      </c>
      <c r="J65" t="s">
        <v>52</v>
      </c>
      <c r="K65" t="s">
        <v>65</v>
      </c>
      <c r="L65" t="s">
        <v>37</v>
      </c>
      <c r="M65">
        <v>2</v>
      </c>
      <c r="N65" s="4">
        <v>0</v>
      </c>
      <c r="O65" s="4">
        <v>10000</v>
      </c>
    </row>
    <row r="66" spans="8:15" x14ac:dyDescent="0.25">
      <c r="H66">
        <v>8070</v>
      </c>
      <c r="I66" s="3">
        <v>43417</v>
      </c>
      <c r="J66" t="s">
        <v>42</v>
      </c>
      <c r="K66" t="s">
        <v>65</v>
      </c>
      <c r="L66" t="s">
        <v>30</v>
      </c>
      <c r="M66">
        <v>1</v>
      </c>
      <c r="N66" s="4">
        <v>0</v>
      </c>
      <c r="O66" s="4">
        <v>9000</v>
      </c>
    </row>
    <row r="67" spans="8:15" x14ac:dyDescent="0.25">
      <c r="H67">
        <v>8071</v>
      </c>
      <c r="I67" s="3">
        <v>43422</v>
      </c>
      <c r="J67" t="s">
        <v>46</v>
      </c>
      <c r="K67" t="s">
        <v>53</v>
      </c>
      <c r="L67" t="s">
        <v>24</v>
      </c>
      <c r="M67">
        <v>3</v>
      </c>
      <c r="N67" s="4">
        <v>0</v>
      </c>
      <c r="O67" s="4">
        <v>27000</v>
      </c>
    </row>
    <row r="68" spans="8:15" x14ac:dyDescent="0.25">
      <c r="H68">
        <v>8072</v>
      </c>
      <c r="I68" s="3">
        <v>43428</v>
      </c>
      <c r="J68" t="s">
        <v>45</v>
      </c>
      <c r="K68" t="s">
        <v>55</v>
      </c>
      <c r="L68" t="s">
        <v>37</v>
      </c>
      <c r="M68">
        <v>1</v>
      </c>
      <c r="N68" s="4">
        <v>0</v>
      </c>
      <c r="O68" s="4">
        <v>5000</v>
      </c>
    </row>
    <row r="69" spans="8:15" x14ac:dyDescent="0.25">
      <c r="H69">
        <v>8073</v>
      </c>
      <c r="I69" s="3">
        <v>43428</v>
      </c>
      <c r="J69" t="s">
        <v>49</v>
      </c>
      <c r="K69" t="s">
        <v>59</v>
      </c>
      <c r="L69" t="s">
        <v>31</v>
      </c>
      <c r="M69">
        <v>4</v>
      </c>
      <c r="N69" s="4">
        <v>0</v>
      </c>
      <c r="O69" s="4">
        <v>44000</v>
      </c>
    </row>
    <row r="70" spans="8:15" x14ac:dyDescent="0.25">
      <c r="H70">
        <v>8074</v>
      </c>
      <c r="I70" s="3">
        <v>43321</v>
      </c>
      <c r="J70" t="s">
        <v>52</v>
      </c>
      <c r="K70" t="s">
        <v>53</v>
      </c>
      <c r="L70" t="s">
        <v>24</v>
      </c>
      <c r="M70">
        <v>2</v>
      </c>
      <c r="N70" s="4">
        <v>0</v>
      </c>
      <c r="O70" s="4">
        <v>18000</v>
      </c>
    </row>
    <row r="71" spans="8:15" x14ac:dyDescent="0.25">
      <c r="H71">
        <v>8075</v>
      </c>
      <c r="I71" s="3">
        <v>43220</v>
      </c>
      <c r="J71" t="s">
        <v>49</v>
      </c>
      <c r="K71" t="s">
        <v>65</v>
      </c>
      <c r="L71" t="s">
        <v>37</v>
      </c>
      <c r="M71">
        <v>2</v>
      </c>
      <c r="N71" s="4">
        <v>0</v>
      </c>
      <c r="O71" s="4">
        <v>10000</v>
      </c>
    </row>
    <row r="72" spans="8:15" x14ac:dyDescent="0.25">
      <c r="H72">
        <v>8076</v>
      </c>
      <c r="I72" s="3">
        <v>43365</v>
      </c>
      <c r="J72" t="s">
        <v>50</v>
      </c>
      <c r="K72" t="s">
        <v>63</v>
      </c>
      <c r="L72" t="s">
        <v>39</v>
      </c>
      <c r="M72">
        <v>1</v>
      </c>
      <c r="N72" s="4">
        <v>0</v>
      </c>
      <c r="O72" s="4">
        <v>12500</v>
      </c>
    </row>
    <row r="73" spans="8:15" x14ac:dyDescent="0.25">
      <c r="H73">
        <v>8077</v>
      </c>
      <c r="I73" s="3">
        <v>43403</v>
      </c>
      <c r="J73" t="s">
        <v>50</v>
      </c>
      <c r="K73" t="s">
        <v>56</v>
      </c>
      <c r="L73" t="s">
        <v>39</v>
      </c>
      <c r="M73">
        <v>1</v>
      </c>
      <c r="N73" s="4">
        <v>0</v>
      </c>
      <c r="O73" s="4">
        <v>12500</v>
      </c>
    </row>
    <row r="74" spans="8:15" x14ac:dyDescent="0.25">
      <c r="H74">
        <v>8078</v>
      </c>
      <c r="I74" s="3">
        <v>43238</v>
      </c>
      <c r="J74" t="s">
        <v>45</v>
      </c>
      <c r="K74" t="s">
        <v>58</v>
      </c>
      <c r="L74" t="s">
        <v>19</v>
      </c>
      <c r="M74">
        <v>4</v>
      </c>
      <c r="N74" s="4">
        <v>0</v>
      </c>
      <c r="O74" s="4">
        <v>24000</v>
      </c>
    </row>
    <row r="75" spans="8:15" x14ac:dyDescent="0.25">
      <c r="H75">
        <v>8079</v>
      </c>
      <c r="I75" s="3">
        <v>43123</v>
      </c>
      <c r="J75" t="s">
        <v>45</v>
      </c>
      <c r="K75" t="s">
        <v>59</v>
      </c>
      <c r="L75" t="s">
        <v>20</v>
      </c>
      <c r="M75">
        <v>4</v>
      </c>
      <c r="N75" s="4">
        <v>0</v>
      </c>
      <c r="O75" s="4">
        <v>30000</v>
      </c>
    </row>
    <row r="76" spans="8:15" x14ac:dyDescent="0.25">
      <c r="H76">
        <v>8080</v>
      </c>
      <c r="I76" s="3">
        <v>43399</v>
      </c>
      <c r="J76" t="s">
        <v>47</v>
      </c>
      <c r="K76" t="s">
        <v>53</v>
      </c>
      <c r="L76" t="s">
        <v>26</v>
      </c>
      <c r="M76">
        <v>3</v>
      </c>
      <c r="N76" s="4">
        <v>0</v>
      </c>
      <c r="O76" s="4">
        <v>7500</v>
      </c>
    </row>
    <row r="77" spans="8:15" x14ac:dyDescent="0.25">
      <c r="H77">
        <v>8081</v>
      </c>
      <c r="I77" s="3">
        <v>43298</v>
      </c>
      <c r="J77" t="s">
        <v>46</v>
      </c>
      <c r="K77" t="s">
        <v>64</v>
      </c>
      <c r="L77" t="s">
        <v>23</v>
      </c>
      <c r="M77">
        <v>1</v>
      </c>
      <c r="N77" s="4">
        <v>0</v>
      </c>
      <c r="O77" s="4">
        <v>3500</v>
      </c>
    </row>
    <row r="78" spans="8:15" x14ac:dyDescent="0.25">
      <c r="H78">
        <v>8082</v>
      </c>
      <c r="I78" s="3">
        <v>43143</v>
      </c>
      <c r="J78" t="s">
        <v>44</v>
      </c>
      <c r="K78" t="s">
        <v>64</v>
      </c>
      <c r="L78" t="s">
        <v>40</v>
      </c>
      <c r="M78">
        <v>2</v>
      </c>
      <c r="N78" s="4">
        <v>0</v>
      </c>
      <c r="O78" s="4">
        <v>15000</v>
      </c>
    </row>
    <row r="79" spans="8:15" x14ac:dyDescent="0.25">
      <c r="H79">
        <v>8083</v>
      </c>
      <c r="I79" s="3">
        <v>43264</v>
      </c>
      <c r="J79" t="s">
        <v>43</v>
      </c>
      <c r="K79" t="s">
        <v>61</v>
      </c>
      <c r="L79" t="s">
        <v>19</v>
      </c>
      <c r="M79">
        <v>1</v>
      </c>
      <c r="N79" s="4">
        <v>0</v>
      </c>
      <c r="O79" s="4">
        <v>6000</v>
      </c>
    </row>
    <row r="80" spans="8:15" x14ac:dyDescent="0.25">
      <c r="H80">
        <v>8084</v>
      </c>
      <c r="I80" s="3">
        <v>43403</v>
      </c>
      <c r="J80" t="s">
        <v>51</v>
      </c>
      <c r="K80" t="s">
        <v>55</v>
      </c>
      <c r="L80" t="s">
        <v>33</v>
      </c>
      <c r="M80">
        <v>1</v>
      </c>
      <c r="N80" s="4">
        <v>0</v>
      </c>
      <c r="O80" s="4">
        <v>10000</v>
      </c>
    </row>
    <row r="81" spans="8:15" x14ac:dyDescent="0.25">
      <c r="H81">
        <v>8085</v>
      </c>
      <c r="I81" s="3">
        <v>43163</v>
      </c>
      <c r="J81" t="s">
        <v>42</v>
      </c>
      <c r="K81" t="s">
        <v>56</v>
      </c>
      <c r="L81" t="s">
        <v>36</v>
      </c>
      <c r="M81">
        <v>3</v>
      </c>
      <c r="N81" s="4">
        <v>0</v>
      </c>
      <c r="O81" s="4">
        <v>24000</v>
      </c>
    </row>
    <row r="82" spans="8:15" x14ac:dyDescent="0.25">
      <c r="H82">
        <v>8086</v>
      </c>
      <c r="I82" s="3">
        <v>43118</v>
      </c>
      <c r="J82" t="s">
        <v>49</v>
      </c>
      <c r="K82" t="s">
        <v>61</v>
      </c>
      <c r="L82" t="s">
        <v>20</v>
      </c>
      <c r="M82">
        <v>2</v>
      </c>
      <c r="N82" s="4">
        <v>0</v>
      </c>
      <c r="O82" s="4">
        <v>15000</v>
      </c>
    </row>
    <row r="83" spans="8:15" x14ac:dyDescent="0.25">
      <c r="H83">
        <v>8087</v>
      </c>
      <c r="I83" s="3">
        <v>43231</v>
      </c>
      <c r="J83" t="s">
        <v>51</v>
      </c>
      <c r="K83" t="s">
        <v>60</v>
      </c>
      <c r="L83" t="s">
        <v>41</v>
      </c>
      <c r="M83">
        <v>3</v>
      </c>
      <c r="N83" s="4">
        <v>0</v>
      </c>
      <c r="O83" s="4">
        <v>12000</v>
      </c>
    </row>
    <row r="84" spans="8:15" x14ac:dyDescent="0.25">
      <c r="H84">
        <v>8088</v>
      </c>
      <c r="I84" s="3">
        <v>43242</v>
      </c>
      <c r="J84" t="s">
        <v>48</v>
      </c>
      <c r="K84" t="s">
        <v>65</v>
      </c>
      <c r="L84" t="s">
        <v>40</v>
      </c>
      <c r="M84">
        <v>1</v>
      </c>
      <c r="N84" s="4">
        <v>0</v>
      </c>
      <c r="O84" s="4">
        <v>7500</v>
      </c>
    </row>
    <row r="85" spans="8:15" x14ac:dyDescent="0.25">
      <c r="H85">
        <v>8089</v>
      </c>
      <c r="I85" s="3">
        <v>43343</v>
      </c>
      <c r="J85" t="s">
        <v>47</v>
      </c>
      <c r="K85" t="s">
        <v>58</v>
      </c>
      <c r="L85" t="s">
        <v>35</v>
      </c>
      <c r="M85">
        <v>3</v>
      </c>
      <c r="N85" s="4">
        <v>0</v>
      </c>
      <c r="O85" s="4">
        <v>22500</v>
      </c>
    </row>
    <row r="86" spans="8:15" x14ac:dyDescent="0.25">
      <c r="H86">
        <v>8090</v>
      </c>
      <c r="I86" s="3">
        <v>43342</v>
      </c>
      <c r="J86" t="s">
        <v>42</v>
      </c>
      <c r="K86" t="s">
        <v>53</v>
      </c>
      <c r="L86" t="s">
        <v>37</v>
      </c>
      <c r="M86">
        <v>2</v>
      </c>
      <c r="N86" s="4">
        <v>0</v>
      </c>
      <c r="O86" s="4">
        <v>10000</v>
      </c>
    </row>
    <row r="87" spans="8:15" x14ac:dyDescent="0.25">
      <c r="H87">
        <v>8091</v>
      </c>
      <c r="I87" s="3">
        <v>43115</v>
      </c>
      <c r="J87" t="s">
        <v>44</v>
      </c>
      <c r="K87" t="s">
        <v>106</v>
      </c>
      <c r="L87" t="s">
        <v>27</v>
      </c>
      <c r="M87">
        <v>2</v>
      </c>
      <c r="N87" s="4">
        <v>0</v>
      </c>
      <c r="O87" s="4">
        <v>9000</v>
      </c>
    </row>
    <row r="88" spans="8:15" x14ac:dyDescent="0.25">
      <c r="H88">
        <v>8092</v>
      </c>
      <c r="I88" s="3">
        <v>43396</v>
      </c>
      <c r="J88" t="s">
        <v>47</v>
      </c>
      <c r="K88" t="s">
        <v>64</v>
      </c>
      <c r="L88" t="s">
        <v>37</v>
      </c>
      <c r="M88">
        <v>3</v>
      </c>
      <c r="N88" s="4">
        <v>0</v>
      </c>
      <c r="O88" s="4">
        <v>15000</v>
      </c>
    </row>
    <row r="89" spans="8:15" x14ac:dyDescent="0.25">
      <c r="H89">
        <v>8093</v>
      </c>
      <c r="I89" s="3">
        <v>43297</v>
      </c>
      <c r="J89" t="s">
        <v>43</v>
      </c>
      <c r="K89" t="s">
        <v>59</v>
      </c>
      <c r="L89" t="s">
        <v>26</v>
      </c>
      <c r="M89">
        <v>4</v>
      </c>
      <c r="N89" s="4">
        <v>0</v>
      </c>
      <c r="O89" s="4">
        <v>10000</v>
      </c>
    </row>
    <row r="90" spans="8:15" x14ac:dyDescent="0.25">
      <c r="H90">
        <v>8094</v>
      </c>
      <c r="I90" s="3">
        <v>43321</v>
      </c>
      <c r="J90" t="s">
        <v>42</v>
      </c>
      <c r="K90" t="s">
        <v>55</v>
      </c>
      <c r="L90" t="s">
        <v>23</v>
      </c>
      <c r="M90">
        <v>1</v>
      </c>
      <c r="N90" s="4">
        <v>0</v>
      </c>
      <c r="O90" s="4">
        <v>3500</v>
      </c>
    </row>
    <row r="91" spans="8:15" x14ac:dyDescent="0.25">
      <c r="H91">
        <v>8095</v>
      </c>
      <c r="I91" s="3">
        <v>43231</v>
      </c>
      <c r="J91" t="s">
        <v>43</v>
      </c>
      <c r="K91" t="s">
        <v>61</v>
      </c>
      <c r="L91" t="s">
        <v>22</v>
      </c>
      <c r="M91">
        <v>3</v>
      </c>
      <c r="N91" s="4">
        <v>0</v>
      </c>
      <c r="O91" s="4">
        <v>13500</v>
      </c>
    </row>
    <row r="92" spans="8:15" x14ac:dyDescent="0.25">
      <c r="H92">
        <v>8096</v>
      </c>
      <c r="I92" s="3">
        <v>43158</v>
      </c>
      <c r="J92" t="s">
        <v>42</v>
      </c>
      <c r="K92" t="s">
        <v>53</v>
      </c>
      <c r="L92" t="s">
        <v>22</v>
      </c>
      <c r="M92">
        <v>2</v>
      </c>
      <c r="N92" s="4">
        <v>0</v>
      </c>
      <c r="O92" s="4">
        <v>9000</v>
      </c>
    </row>
    <row r="93" spans="8:15" x14ac:dyDescent="0.25">
      <c r="H93">
        <v>8097</v>
      </c>
      <c r="I93" s="3">
        <v>43242</v>
      </c>
      <c r="J93" t="s">
        <v>42</v>
      </c>
      <c r="K93" t="s">
        <v>53</v>
      </c>
      <c r="L93" t="s">
        <v>41</v>
      </c>
      <c r="M93">
        <v>4</v>
      </c>
      <c r="N93" s="4">
        <v>0</v>
      </c>
      <c r="O93" s="4">
        <v>16000</v>
      </c>
    </row>
    <row r="94" spans="8:15" x14ac:dyDescent="0.25">
      <c r="H94">
        <v>8098</v>
      </c>
      <c r="I94" s="3">
        <v>43246</v>
      </c>
      <c r="J94" t="s">
        <v>49</v>
      </c>
      <c r="K94" t="s">
        <v>64</v>
      </c>
      <c r="L94" t="s">
        <v>38</v>
      </c>
      <c r="M94">
        <v>2</v>
      </c>
      <c r="N94" s="4">
        <v>0</v>
      </c>
      <c r="O94" s="4">
        <v>8000</v>
      </c>
    </row>
    <row r="95" spans="8:15" x14ac:dyDescent="0.25">
      <c r="H95">
        <v>8099</v>
      </c>
      <c r="I95" s="3">
        <v>43269</v>
      </c>
      <c r="J95" t="s">
        <v>52</v>
      </c>
      <c r="K95" t="s">
        <v>65</v>
      </c>
      <c r="L95" t="s">
        <v>28</v>
      </c>
      <c r="M95">
        <v>1</v>
      </c>
      <c r="N95" s="4">
        <v>0</v>
      </c>
      <c r="O95" s="4">
        <v>7500</v>
      </c>
    </row>
    <row r="96" spans="8:15" x14ac:dyDescent="0.25">
      <c r="H96">
        <v>8100</v>
      </c>
      <c r="I96" s="3">
        <v>43213</v>
      </c>
      <c r="J96" t="s">
        <v>46</v>
      </c>
      <c r="K96" t="s">
        <v>55</v>
      </c>
      <c r="L96" t="s">
        <v>40</v>
      </c>
      <c r="M96">
        <v>2</v>
      </c>
      <c r="N96" s="4">
        <v>0</v>
      </c>
      <c r="O96" s="4">
        <v>15000</v>
      </c>
    </row>
    <row r="97" spans="8:15" x14ac:dyDescent="0.25">
      <c r="H97">
        <v>8101</v>
      </c>
      <c r="I97" s="3">
        <v>43187</v>
      </c>
      <c r="J97" t="s">
        <v>44</v>
      </c>
      <c r="K97" t="s">
        <v>55</v>
      </c>
      <c r="L97" t="s">
        <v>27</v>
      </c>
      <c r="M97">
        <v>1</v>
      </c>
      <c r="N97" s="4">
        <v>0</v>
      </c>
      <c r="O97" s="4">
        <v>4500</v>
      </c>
    </row>
    <row r="98" spans="8:15" x14ac:dyDescent="0.25">
      <c r="H98">
        <v>8102</v>
      </c>
      <c r="I98" s="3">
        <v>43174</v>
      </c>
      <c r="J98" t="s">
        <v>45</v>
      </c>
      <c r="K98" t="s">
        <v>64</v>
      </c>
      <c r="L98" t="s">
        <v>22</v>
      </c>
      <c r="M98">
        <v>1</v>
      </c>
      <c r="N98" s="4">
        <v>0</v>
      </c>
      <c r="O98" s="4">
        <v>4500</v>
      </c>
    </row>
    <row r="99" spans="8:15" x14ac:dyDescent="0.25">
      <c r="H99">
        <v>8103</v>
      </c>
      <c r="I99" s="3">
        <v>43379</v>
      </c>
      <c r="J99" t="s">
        <v>45</v>
      </c>
      <c r="K99" t="s">
        <v>65</v>
      </c>
      <c r="L99" t="s">
        <v>35</v>
      </c>
      <c r="M99">
        <v>1</v>
      </c>
      <c r="N99" s="4">
        <v>0</v>
      </c>
      <c r="O99" s="4">
        <v>7500</v>
      </c>
    </row>
    <row r="100" spans="8:15" x14ac:dyDescent="0.25">
      <c r="H100">
        <v>8104</v>
      </c>
      <c r="I100" s="3">
        <v>43249</v>
      </c>
      <c r="J100" t="s">
        <v>47</v>
      </c>
      <c r="K100" t="s">
        <v>58</v>
      </c>
      <c r="L100" t="s">
        <v>36</v>
      </c>
      <c r="M100">
        <v>1</v>
      </c>
      <c r="N100" s="4">
        <v>0</v>
      </c>
      <c r="O100" s="4">
        <v>8000</v>
      </c>
    </row>
    <row r="101" spans="8:15" x14ac:dyDescent="0.25">
      <c r="H101">
        <v>8105</v>
      </c>
      <c r="I101" s="3">
        <v>43317</v>
      </c>
      <c r="J101" t="s">
        <v>48</v>
      </c>
      <c r="K101" t="s">
        <v>60</v>
      </c>
      <c r="L101" t="s">
        <v>31</v>
      </c>
      <c r="M101">
        <v>2</v>
      </c>
      <c r="N101" s="4">
        <v>0</v>
      </c>
      <c r="O101" s="4">
        <v>22000</v>
      </c>
    </row>
    <row r="102" spans="8:15" x14ac:dyDescent="0.25">
      <c r="H102">
        <v>8106</v>
      </c>
      <c r="I102" s="3">
        <v>43205</v>
      </c>
      <c r="J102" t="s">
        <v>45</v>
      </c>
      <c r="K102" t="s">
        <v>59</v>
      </c>
      <c r="L102" t="s">
        <v>27</v>
      </c>
      <c r="M102">
        <v>2</v>
      </c>
      <c r="N102" s="4">
        <v>0</v>
      </c>
      <c r="O102" s="4">
        <v>9000</v>
      </c>
    </row>
    <row r="103" spans="8:15" x14ac:dyDescent="0.25">
      <c r="H103">
        <v>8107</v>
      </c>
      <c r="I103" s="3">
        <v>43168</v>
      </c>
      <c r="J103" t="s">
        <v>48</v>
      </c>
      <c r="K103" t="s">
        <v>60</v>
      </c>
      <c r="L103" t="s">
        <v>22</v>
      </c>
      <c r="M103">
        <v>1</v>
      </c>
      <c r="N103" s="4">
        <v>0</v>
      </c>
      <c r="O103" s="4">
        <v>4500</v>
      </c>
    </row>
    <row r="104" spans="8:15" x14ac:dyDescent="0.25">
      <c r="H104">
        <v>8108</v>
      </c>
      <c r="I104" s="3">
        <v>43193</v>
      </c>
      <c r="J104" t="s">
        <v>52</v>
      </c>
      <c r="K104" t="s">
        <v>53</v>
      </c>
      <c r="L104" t="s">
        <v>20</v>
      </c>
      <c r="M104">
        <v>2</v>
      </c>
      <c r="N104" s="4">
        <v>0</v>
      </c>
      <c r="O104" s="4">
        <v>15000</v>
      </c>
    </row>
    <row r="105" spans="8:15" x14ac:dyDescent="0.25">
      <c r="H105">
        <v>8109</v>
      </c>
      <c r="I105" s="3">
        <v>43387</v>
      </c>
      <c r="J105" t="s">
        <v>43</v>
      </c>
      <c r="K105" t="s">
        <v>106</v>
      </c>
      <c r="L105" t="s">
        <v>28</v>
      </c>
      <c r="M105">
        <v>2</v>
      </c>
      <c r="N105" s="4">
        <v>0</v>
      </c>
      <c r="O105" s="4">
        <v>15000</v>
      </c>
    </row>
    <row r="106" spans="8:15" x14ac:dyDescent="0.25">
      <c r="H106">
        <v>8110</v>
      </c>
      <c r="I106" s="3">
        <v>43401</v>
      </c>
      <c r="J106" t="s">
        <v>51</v>
      </c>
      <c r="K106" t="s">
        <v>65</v>
      </c>
      <c r="L106" t="s">
        <v>35</v>
      </c>
      <c r="M106">
        <v>2</v>
      </c>
      <c r="N106" s="4">
        <v>0</v>
      </c>
      <c r="O106" s="4">
        <v>15000</v>
      </c>
    </row>
    <row r="107" spans="8:15" x14ac:dyDescent="0.25">
      <c r="H107">
        <v>8111</v>
      </c>
      <c r="I107" s="3">
        <v>43362</v>
      </c>
      <c r="J107" t="s">
        <v>47</v>
      </c>
      <c r="K107" t="s">
        <v>53</v>
      </c>
      <c r="L107" t="s">
        <v>31</v>
      </c>
      <c r="M107">
        <v>2</v>
      </c>
      <c r="N107" s="4">
        <v>0</v>
      </c>
      <c r="O107" s="4">
        <v>22000</v>
      </c>
    </row>
    <row r="108" spans="8:15" x14ac:dyDescent="0.25">
      <c r="H108">
        <v>8112</v>
      </c>
      <c r="I108" s="3">
        <v>43259</v>
      </c>
      <c r="J108" t="s">
        <v>52</v>
      </c>
      <c r="K108" t="s">
        <v>65</v>
      </c>
      <c r="L108" t="s">
        <v>34</v>
      </c>
      <c r="M108">
        <v>2</v>
      </c>
      <c r="N108" s="4">
        <v>0</v>
      </c>
      <c r="O108" s="4">
        <v>12000</v>
      </c>
    </row>
    <row r="109" spans="8:15" x14ac:dyDescent="0.25">
      <c r="H109">
        <v>8113</v>
      </c>
      <c r="I109" s="3">
        <v>43370</v>
      </c>
      <c r="J109" t="s">
        <v>51</v>
      </c>
      <c r="K109" t="s">
        <v>58</v>
      </c>
      <c r="L109" t="s">
        <v>23</v>
      </c>
      <c r="M109">
        <v>1</v>
      </c>
      <c r="N109" s="4">
        <v>0</v>
      </c>
      <c r="O109" s="4">
        <v>3500</v>
      </c>
    </row>
    <row r="110" spans="8:15" x14ac:dyDescent="0.25">
      <c r="H110">
        <v>8114</v>
      </c>
      <c r="I110" s="3">
        <v>43313</v>
      </c>
      <c r="J110" t="s">
        <v>52</v>
      </c>
      <c r="K110" t="s">
        <v>55</v>
      </c>
      <c r="L110" t="s">
        <v>29</v>
      </c>
      <c r="M110">
        <v>1</v>
      </c>
      <c r="N110" s="4">
        <v>0</v>
      </c>
      <c r="O110" s="4">
        <v>9000</v>
      </c>
    </row>
    <row r="111" spans="8:15" x14ac:dyDescent="0.25">
      <c r="H111">
        <v>8115</v>
      </c>
      <c r="I111" s="3">
        <v>43237</v>
      </c>
      <c r="J111" t="s">
        <v>52</v>
      </c>
      <c r="K111" t="s">
        <v>60</v>
      </c>
      <c r="L111" t="s">
        <v>36</v>
      </c>
      <c r="M111">
        <v>2</v>
      </c>
      <c r="N111" s="4">
        <v>0</v>
      </c>
      <c r="O111" s="4">
        <v>16000</v>
      </c>
    </row>
    <row r="112" spans="8:15" x14ac:dyDescent="0.25">
      <c r="H112">
        <v>8116</v>
      </c>
      <c r="I112" s="3">
        <v>43150</v>
      </c>
      <c r="J112" t="s">
        <v>42</v>
      </c>
      <c r="K112" t="s">
        <v>53</v>
      </c>
      <c r="L112" t="s">
        <v>30</v>
      </c>
      <c r="M112">
        <v>1</v>
      </c>
      <c r="N112" s="4">
        <v>0</v>
      </c>
      <c r="O112" s="4">
        <v>9000</v>
      </c>
    </row>
    <row r="113" spans="8:15" x14ac:dyDescent="0.25">
      <c r="H113">
        <v>8117</v>
      </c>
      <c r="I113" s="3">
        <v>43351</v>
      </c>
      <c r="J113" t="s">
        <v>46</v>
      </c>
      <c r="K113" t="s">
        <v>60</v>
      </c>
      <c r="L113" t="s">
        <v>39</v>
      </c>
      <c r="M113">
        <v>1</v>
      </c>
      <c r="N113" s="4">
        <v>0</v>
      </c>
      <c r="O113" s="4">
        <v>12500</v>
      </c>
    </row>
    <row r="114" spans="8:15" x14ac:dyDescent="0.25">
      <c r="H114">
        <v>8118</v>
      </c>
      <c r="I114" s="3">
        <v>43313</v>
      </c>
      <c r="J114" t="s">
        <v>45</v>
      </c>
      <c r="K114" t="s">
        <v>53</v>
      </c>
      <c r="L114" t="s">
        <v>28</v>
      </c>
      <c r="M114">
        <v>3</v>
      </c>
      <c r="N114" s="4">
        <v>0</v>
      </c>
      <c r="O114" s="4">
        <v>22500</v>
      </c>
    </row>
    <row r="115" spans="8:15" x14ac:dyDescent="0.25">
      <c r="H115">
        <v>8119</v>
      </c>
      <c r="I115" s="3">
        <v>43262</v>
      </c>
      <c r="J115" t="s">
        <v>48</v>
      </c>
      <c r="K115" t="s">
        <v>53</v>
      </c>
      <c r="L115" t="s">
        <v>35</v>
      </c>
      <c r="M115">
        <v>1</v>
      </c>
      <c r="N115" s="4">
        <v>0</v>
      </c>
      <c r="O115" s="4">
        <v>7500</v>
      </c>
    </row>
    <row r="116" spans="8:15" x14ac:dyDescent="0.25">
      <c r="H116">
        <v>8120</v>
      </c>
      <c r="I116" s="3">
        <v>43230</v>
      </c>
      <c r="J116" t="s">
        <v>52</v>
      </c>
      <c r="K116" t="s">
        <v>60</v>
      </c>
      <c r="L116" t="s">
        <v>22</v>
      </c>
      <c r="M116">
        <v>3</v>
      </c>
      <c r="N116" s="4">
        <v>0</v>
      </c>
      <c r="O116" s="4">
        <v>13500</v>
      </c>
    </row>
    <row r="117" spans="8:15" x14ac:dyDescent="0.25">
      <c r="H117">
        <v>8121</v>
      </c>
      <c r="I117" s="3">
        <v>43304</v>
      </c>
      <c r="J117" t="s">
        <v>49</v>
      </c>
      <c r="K117" t="s">
        <v>60</v>
      </c>
      <c r="L117" t="s">
        <v>37</v>
      </c>
      <c r="M117">
        <v>2</v>
      </c>
      <c r="N117" s="4">
        <v>0</v>
      </c>
      <c r="O117" s="4">
        <v>10000</v>
      </c>
    </row>
    <row r="118" spans="8:15" x14ac:dyDescent="0.25">
      <c r="H118">
        <v>8122</v>
      </c>
      <c r="I118" s="3">
        <v>43113</v>
      </c>
      <c r="J118" t="s">
        <v>49</v>
      </c>
      <c r="K118" t="s">
        <v>56</v>
      </c>
      <c r="L118" t="s">
        <v>27</v>
      </c>
      <c r="M118">
        <v>2</v>
      </c>
      <c r="N118" s="4">
        <v>0</v>
      </c>
      <c r="O118" s="4">
        <v>9000</v>
      </c>
    </row>
    <row r="119" spans="8:15" x14ac:dyDescent="0.25">
      <c r="H119">
        <v>8123</v>
      </c>
      <c r="I119" s="3">
        <v>43408</v>
      </c>
      <c r="J119" t="s">
        <v>52</v>
      </c>
      <c r="K119" t="s">
        <v>106</v>
      </c>
      <c r="L119" t="s">
        <v>20</v>
      </c>
      <c r="M119">
        <v>1</v>
      </c>
      <c r="N119" s="4">
        <v>0</v>
      </c>
      <c r="O119" s="4">
        <v>7500</v>
      </c>
    </row>
    <row r="120" spans="8:15" x14ac:dyDescent="0.25">
      <c r="H120">
        <v>8124</v>
      </c>
      <c r="I120" s="3">
        <v>43214</v>
      </c>
      <c r="J120" t="s">
        <v>50</v>
      </c>
      <c r="K120" t="s">
        <v>57</v>
      </c>
      <c r="L120" t="s">
        <v>39</v>
      </c>
      <c r="M120">
        <v>1</v>
      </c>
      <c r="N120" s="4">
        <v>0</v>
      </c>
      <c r="O120" s="4">
        <v>12500</v>
      </c>
    </row>
    <row r="121" spans="8:15" x14ac:dyDescent="0.25">
      <c r="H121">
        <v>8125</v>
      </c>
      <c r="I121" s="3">
        <v>43368</v>
      </c>
      <c r="J121" t="s">
        <v>47</v>
      </c>
      <c r="K121" t="s">
        <v>65</v>
      </c>
      <c r="L121" t="s">
        <v>20</v>
      </c>
      <c r="M121">
        <v>2</v>
      </c>
      <c r="N121" s="4">
        <v>0</v>
      </c>
      <c r="O121" s="4">
        <v>15000</v>
      </c>
    </row>
    <row r="122" spans="8:15" x14ac:dyDescent="0.25">
      <c r="H122">
        <v>8126</v>
      </c>
      <c r="I122" s="3">
        <v>43256</v>
      </c>
      <c r="J122" t="s">
        <v>51</v>
      </c>
      <c r="K122" t="s">
        <v>65</v>
      </c>
      <c r="L122" t="s">
        <v>40</v>
      </c>
      <c r="M122">
        <v>3</v>
      </c>
      <c r="N122" s="4">
        <v>0</v>
      </c>
      <c r="O122" s="4">
        <v>22500</v>
      </c>
    </row>
    <row r="123" spans="8:15" x14ac:dyDescent="0.25">
      <c r="H123">
        <v>8127</v>
      </c>
      <c r="I123" s="3">
        <v>43139</v>
      </c>
      <c r="J123" t="s">
        <v>43</v>
      </c>
      <c r="K123" t="s">
        <v>65</v>
      </c>
      <c r="L123" t="s">
        <v>39</v>
      </c>
      <c r="M123">
        <v>3</v>
      </c>
      <c r="N123" s="4">
        <v>0</v>
      </c>
      <c r="O123" s="4">
        <v>37500</v>
      </c>
    </row>
    <row r="124" spans="8:15" x14ac:dyDescent="0.25">
      <c r="H124">
        <v>8128</v>
      </c>
      <c r="I124" s="3">
        <v>43150</v>
      </c>
      <c r="J124" t="s">
        <v>47</v>
      </c>
      <c r="K124" t="s">
        <v>65</v>
      </c>
      <c r="L124" t="s">
        <v>35</v>
      </c>
      <c r="M124">
        <v>2</v>
      </c>
      <c r="N124" s="4">
        <v>0</v>
      </c>
      <c r="O124" s="4">
        <v>15000</v>
      </c>
    </row>
    <row r="125" spans="8:15" x14ac:dyDescent="0.25">
      <c r="H125">
        <v>8129</v>
      </c>
      <c r="I125" s="3">
        <v>43398</v>
      </c>
      <c r="J125" t="s">
        <v>49</v>
      </c>
      <c r="K125" t="s">
        <v>64</v>
      </c>
      <c r="L125" t="s">
        <v>35</v>
      </c>
      <c r="M125">
        <v>3</v>
      </c>
      <c r="N125" s="4">
        <v>0</v>
      </c>
      <c r="O125" s="4">
        <v>22500</v>
      </c>
    </row>
    <row r="126" spans="8:15" x14ac:dyDescent="0.25">
      <c r="H126">
        <v>8130</v>
      </c>
      <c r="I126" s="3">
        <v>43319</v>
      </c>
      <c r="J126" t="s">
        <v>52</v>
      </c>
      <c r="K126" t="s">
        <v>65</v>
      </c>
      <c r="L126" t="s">
        <v>38</v>
      </c>
      <c r="M126">
        <v>3</v>
      </c>
      <c r="N126" s="4">
        <v>0</v>
      </c>
      <c r="O126" s="4">
        <v>12000</v>
      </c>
    </row>
    <row r="127" spans="8:15" x14ac:dyDescent="0.25">
      <c r="H127">
        <v>8131</v>
      </c>
      <c r="I127" s="3">
        <v>43252</v>
      </c>
      <c r="J127" t="s">
        <v>46</v>
      </c>
      <c r="K127" t="s">
        <v>65</v>
      </c>
      <c r="L127" t="s">
        <v>28</v>
      </c>
      <c r="M127">
        <v>4</v>
      </c>
      <c r="N127" s="4">
        <v>0</v>
      </c>
      <c r="O127" s="4">
        <v>30000</v>
      </c>
    </row>
    <row r="128" spans="8:15" x14ac:dyDescent="0.25">
      <c r="H128">
        <v>8132</v>
      </c>
      <c r="I128" s="3">
        <v>43202</v>
      </c>
      <c r="J128" t="s">
        <v>44</v>
      </c>
      <c r="K128" t="s">
        <v>63</v>
      </c>
      <c r="L128" t="s">
        <v>40</v>
      </c>
      <c r="M128">
        <v>1</v>
      </c>
      <c r="N128" s="4">
        <v>0</v>
      </c>
      <c r="O128" s="4">
        <v>7500</v>
      </c>
    </row>
    <row r="129" spans="8:15" x14ac:dyDescent="0.25">
      <c r="H129">
        <v>8133</v>
      </c>
      <c r="I129" s="3">
        <v>43175</v>
      </c>
      <c r="J129" t="s">
        <v>45</v>
      </c>
      <c r="K129" t="s">
        <v>57</v>
      </c>
      <c r="L129" t="s">
        <v>41</v>
      </c>
      <c r="M129">
        <v>3</v>
      </c>
      <c r="N129" s="4">
        <v>0</v>
      </c>
      <c r="O129" s="4">
        <v>12000</v>
      </c>
    </row>
    <row r="130" spans="8:15" x14ac:dyDescent="0.25">
      <c r="H130">
        <v>8134</v>
      </c>
      <c r="I130" s="3">
        <v>43133</v>
      </c>
      <c r="J130" t="s">
        <v>45</v>
      </c>
      <c r="K130" t="s">
        <v>64</v>
      </c>
      <c r="L130" t="s">
        <v>26</v>
      </c>
      <c r="M130">
        <v>4</v>
      </c>
      <c r="N130" s="4">
        <v>0</v>
      </c>
      <c r="O130" s="4">
        <v>10000</v>
      </c>
    </row>
    <row r="131" spans="8:15" x14ac:dyDescent="0.25">
      <c r="H131">
        <v>8135</v>
      </c>
      <c r="I131" s="3">
        <v>43252</v>
      </c>
      <c r="J131" t="s">
        <v>47</v>
      </c>
      <c r="K131" t="s">
        <v>53</v>
      </c>
      <c r="L131" t="s">
        <v>41</v>
      </c>
      <c r="M131">
        <v>1</v>
      </c>
      <c r="N131" s="4">
        <v>0</v>
      </c>
      <c r="O131" s="4">
        <v>4000</v>
      </c>
    </row>
    <row r="132" spans="8:15" x14ac:dyDescent="0.25">
      <c r="H132">
        <v>8136</v>
      </c>
      <c r="I132" s="3">
        <v>43375</v>
      </c>
      <c r="J132" t="s">
        <v>48</v>
      </c>
      <c r="K132" t="s">
        <v>53</v>
      </c>
      <c r="L132" t="s">
        <v>29</v>
      </c>
      <c r="M132">
        <v>1</v>
      </c>
      <c r="N132" s="4">
        <v>0</v>
      </c>
      <c r="O132" s="4">
        <v>9000</v>
      </c>
    </row>
    <row r="133" spans="8:15" x14ac:dyDescent="0.25">
      <c r="H133">
        <v>8137</v>
      </c>
      <c r="I133" s="3">
        <v>43303</v>
      </c>
      <c r="J133" t="s">
        <v>45</v>
      </c>
      <c r="K133" t="s">
        <v>60</v>
      </c>
      <c r="L133" t="s">
        <v>28</v>
      </c>
      <c r="M133">
        <v>2</v>
      </c>
      <c r="N133" s="4">
        <v>0</v>
      </c>
      <c r="O133" s="4">
        <v>15000</v>
      </c>
    </row>
    <row r="134" spans="8:15" x14ac:dyDescent="0.25">
      <c r="H134">
        <v>8138</v>
      </c>
      <c r="I134" s="3">
        <v>43238</v>
      </c>
      <c r="J134" t="s">
        <v>48</v>
      </c>
      <c r="K134" t="s">
        <v>64</v>
      </c>
      <c r="L134" t="s">
        <v>23</v>
      </c>
      <c r="M134">
        <v>2</v>
      </c>
      <c r="N134" s="4">
        <v>0</v>
      </c>
      <c r="O134" s="4">
        <v>7000</v>
      </c>
    </row>
    <row r="135" spans="8:15" x14ac:dyDescent="0.25">
      <c r="H135">
        <v>8139</v>
      </c>
      <c r="I135" s="3">
        <v>43249</v>
      </c>
      <c r="J135" t="s">
        <v>52</v>
      </c>
      <c r="K135" t="s">
        <v>60</v>
      </c>
      <c r="L135" t="s">
        <v>35</v>
      </c>
      <c r="M135">
        <v>3</v>
      </c>
      <c r="N135" s="4">
        <v>0</v>
      </c>
      <c r="O135" s="4">
        <v>22500</v>
      </c>
    </row>
    <row r="136" spans="8:15" x14ac:dyDescent="0.25">
      <c r="H136">
        <v>8140</v>
      </c>
      <c r="I136" s="3">
        <v>43331</v>
      </c>
      <c r="J136" t="s">
        <v>43</v>
      </c>
      <c r="K136" t="s">
        <v>55</v>
      </c>
      <c r="L136" t="s">
        <v>30</v>
      </c>
      <c r="M136">
        <v>1</v>
      </c>
      <c r="N136" s="4">
        <v>0</v>
      </c>
      <c r="O136" s="4">
        <v>9000</v>
      </c>
    </row>
    <row r="137" spans="8:15" x14ac:dyDescent="0.25">
      <c r="H137">
        <v>8141</v>
      </c>
      <c r="I137" s="3">
        <v>43191</v>
      </c>
      <c r="J137" t="s">
        <v>51</v>
      </c>
      <c r="K137" t="s">
        <v>106</v>
      </c>
      <c r="L137" t="s">
        <v>28</v>
      </c>
      <c r="M137">
        <v>5</v>
      </c>
      <c r="N137" s="4">
        <v>0</v>
      </c>
      <c r="O137" s="4">
        <v>37500</v>
      </c>
    </row>
    <row r="138" spans="8:15" x14ac:dyDescent="0.25">
      <c r="H138">
        <v>8142</v>
      </c>
      <c r="I138" s="3">
        <v>43127</v>
      </c>
      <c r="J138" t="s">
        <v>47</v>
      </c>
      <c r="K138" t="s">
        <v>60</v>
      </c>
      <c r="L138" t="s">
        <v>37</v>
      </c>
      <c r="M138">
        <v>1</v>
      </c>
      <c r="N138" s="4">
        <v>0</v>
      </c>
      <c r="O138" s="4">
        <v>5000</v>
      </c>
    </row>
    <row r="139" spans="8:15" x14ac:dyDescent="0.25">
      <c r="H139">
        <v>8143</v>
      </c>
      <c r="I139" s="3">
        <v>43144</v>
      </c>
      <c r="J139" t="s">
        <v>52</v>
      </c>
      <c r="K139" t="s">
        <v>65</v>
      </c>
      <c r="L139" t="s">
        <v>36</v>
      </c>
      <c r="M139">
        <v>1</v>
      </c>
      <c r="N139" s="4">
        <v>0</v>
      </c>
      <c r="O139" s="4">
        <v>8000</v>
      </c>
    </row>
    <row r="140" spans="8:15" x14ac:dyDescent="0.25">
      <c r="H140">
        <v>8144</v>
      </c>
      <c r="I140" s="3">
        <v>43151</v>
      </c>
      <c r="J140" t="s">
        <v>51</v>
      </c>
      <c r="K140" t="s">
        <v>58</v>
      </c>
      <c r="L140" t="s">
        <v>30</v>
      </c>
      <c r="M140">
        <v>1</v>
      </c>
      <c r="N140" s="4">
        <v>0</v>
      </c>
      <c r="O140" s="4">
        <v>9000</v>
      </c>
    </row>
    <row r="141" spans="8:15" x14ac:dyDescent="0.25">
      <c r="H141">
        <v>8145</v>
      </c>
      <c r="I141" s="3">
        <v>43285</v>
      </c>
      <c r="J141" t="s">
        <v>52</v>
      </c>
      <c r="K141" t="s">
        <v>60</v>
      </c>
      <c r="L141" t="s">
        <v>35</v>
      </c>
      <c r="M141">
        <v>3</v>
      </c>
      <c r="N141" s="4">
        <v>0</v>
      </c>
      <c r="O141" s="4">
        <v>22500</v>
      </c>
    </row>
    <row r="142" spans="8:15" x14ac:dyDescent="0.25">
      <c r="H142">
        <v>8146</v>
      </c>
      <c r="I142" s="3">
        <v>43292</v>
      </c>
      <c r="J142" t="s">
        <v>52</v>
      </c>
      <c r="K142" t="s">
        <v>53</v>
      </c>
      <c r="L142" t="s">
        <v>35</v>
      </c>
      <c r="M142">
        <v>1</v>
      </c>
      <c r="N142" s="4">
        <v>0</v>
      </c>
      <c r="O142" s="4">
        <v>7500</v>
      </c>
    </row>
    <row r="143" spans="8:15" x14ac:dyDescent="0.25">
      <c r="H143">
        <v>8147</v>
      </c>
      <c r="I143" s="3">
        <v>43207</v>
      </c>
      <c r="J143" t="s">
        <v>42</v>
      </c>
      <c r="K143" t="s">
        <v>53</v>
      </c>
      <c r="L143" t="s">
        <v>26</v>
      </c>
      <c r="M143">
        <v>1</v>
      </c>
      <c r="N143" s="4">
        <v>0</v>
      </c>
      <c r="O143" s="4">
        <v>2500</v>
      </c>
    </row>
    <row r="144" spans="8:15" x14ac:dyDescent="0.25">
      <c r="H144">
        <v>8148</v>
      </c>
      <c r="I144" s="3">
        <v>43283</v>
      </c>
      <c r="J144" t="s">
        <v>42</v>
      </c>
      <c r="K144" t="s">
        <v>60</v>
      </c>
      <c r="L144" t="s">
        <v>35</v>
      </c>
      <c r="M144">
        <v>1</v>
      </c>
      <c r="N144" s="4">
        <v>0</v>
      </c>
      <c r="O144" s="4">
        <v>7500</v>
      </c>
    </row>
    <row r="145" spans="8:15" x14ac:dyDescent="0.25">
      <c r="H145">
        <v>8149</v>
      </c>
      <c r="I145" s="3">
        <v>43251</v>
      </c>
      <c r="J145" t="s">
        <v>46</v>
      </c>
      <c r="K145" t="s">
        <v>53</v>
      </c>
      <c r="L145" t="s">
        <v>26</v>
      </c>
      <c r="M145">
        <v>1</v>
      </c>
      <c r="N145" s="4">
        <v>0</v>
      </c>
      <c r="O145" s="4">
        <v>2500</v>
      </c>
    </row>
    <row r="146" spans="8:15" x14ac:dyDescent="0.25">
      <c r="H146">
        <v>8150</v>
      </c>
      <c r="I146" s="3">
        <v>43389</v>
      </c>
      <c r="J146" t="s">
        <v>49</v>
      </c>
      <c r="K146" t="s">
        <v>57</v>
      </c>
      <c r="L146" t="s">
        <v>20</v>
      </c>
      <c r="M146">
        <v>2</v>
      </c>
      <c r="N146" s="4">
        <v>0</v>
      </c>
      <c r="O146" s="4">
        <v>15000</v>
      </c>
    </row>
    <row r="147" spans="8:15" x14ac:dyDescent="0.25">
      <c r="H147">
        <v>8151</v>
      </c>
      <c r="I147" s="3">
        <v>43131</v>
      </c>
      <c r="J147" t="s">
        <v>45</v>
      </c>
      <c r="K147" t="s">
        <v>60</v>
      </c>
      <c r="L147" t="s">
        <v>22</v>
      </c>
      <c r="M147">
        <v>4</v>
      </c>
      <c r="N147" s="4">
        <v>0</v>
      </c>
      <c r="O147" s="4">
        <v>18000</v>
      </c>
    </row>
    <row r="148" spans="8:15" x14ac:dyDescent="0.25">
      <c r="H148">
        <v>8152</v>
      </c>
      <c r="I148" s="3">
        <v>43274</v>
      </c>
      <c r="J148" t="s">
        <v>48</v>
      </c>
      <c r="K148" t="s">
        <v>61</v>
      </c>
      <c r="L148" t="s">
        <v>38</v>
      </c>
      <c r="M148">
        <v>4</v>
      </c>
      <c r="N148" s="4">
        <v>0</v>
      </c>
      <c r="O148" s="4">
        <v>16000</v>
      </c>
    </row>
    <row r="149" spans="8:15" x14ac:dyDescent="0.25">
      <c r="H149">
        <v>8153</v>
      </c>
      <c r="I149" s="3">
        <v>43253</v>
      </c>
      <c r="J149" t="s">
        <v>52</v>
      </c>
      <c r="K149" t="s">
        <v>60</v>
      </c>
      <c r="L149" t="s">
        <v>22</v>
      </c>
      <c r="M149">
        <v>1</v>
      </c>
      <c r="N149" s="4">
        <v>0</v>
      </c>
      <c r="O149" s="4">
        <v>4500</v>
      </c>
    </row>
    <row r="150" spans="8:15" x14ac:dyDescent="0.25">
      <c r="H150">
        <v>8154</v>
      </c>
      <c r="I150" s="3">
        <v>43375</v>
      </c>
      <c r="J150" t="s">
        <v>49</v>
      </c>
      <c r="K150" t="s">
        <v>61</v>
      </c>
      <c r="L150" t="s">
        <v>23</v>
      </c>
      <c r="M150">
        <v>1</v>
      </c>
      <c r="N150" s="4">
        <v>0</v>
      </c>
      <c r="O150" s="4">
        <v>3500</v>
      </c>
    </row>
    <row r="151" spans="8:15" x14ac:dyDescent="0.25">
      <c r="H151">
        <v>8155</v>
      </c>
      <c r="I151" s="3">
        <v>43159</v>
      </c>
      <c r="J151" t="s">
        <v>49</v>
      </c>
      <c r="K151" t="s">
        <v>54</v>
      </c>
      <c r="L151" t="s">
        <v>35</v>
      </c>
      <c r="M151">
        <v>7</v>
      </c>
      <c r="N151" s="4">
        <v>0</v>
      </c>
      <c r="O151" s="4">
        <v>52500</v>
      </c>
    </row>
    <row r="152" spans="8:15" x14ac:dyDescent="0.25">
      <c r="H152">
        <v>8156</v>
      </c>
      <c r="I152" s="3">
        <v>43364</v>
      </c>
      <c r="J152" t="s">
        <v>52</v>
      </c>
      <c r="K152" t="s">
        <v>63</v>
      </c>
      <c r="L152" t="s">
        <v>34</v>
      </c>
      <c r="M152">
        <v>1</v>
      </c>
      <c r="N152" s="4">
        <v>0</v>
      </c>
      <c r="O152" s="4">
        <v>6000</v>
      </c>
    </row>
    <row r="153" spans="8:15" x14ac:dyDescent="0.25">
      <c r="H153">
        <v>8157</v>
      </c>
      <c r="I153" s="3">
        <v>43183</v>
      </c>
      <c r="J153" t="s">
        <v>50</v>
      </c>
      <c r="K153" t="s">
        <v>65</v>
      </c>
      <c r="L153" t="s">
        <v>40</v>
      </c>
      <c r="M153">
        <v>2</v>
      </c>
      <c r="N153" s="4">
        <v>0</v>
      </c>
      <c r="O153" s="4">
        <v>15000</v>
      </c>
    </row>
    <row r="154" spans="8:15" x14ac:dyDescent="0.25">
      <c r="H154">
        <v>8158</v>
      </c>
      <c r="I154" s="3">
        <v>43155</v>
      </c>
      <c r="J154" t="s">
        <v>47</v>
      </c>
      <c r="K154" t="s">
        <v>60</v>
      </c>
      <c r="L154" t="s">
        <v>30</v>
      </c>
      <c r="M154">
        <v>1</v>
      </c>
      <c r="N154" s="4">
        <v>0</v>
      </c>
      <c r="O154" s="4">
        <v>9000</v>
      </c>
    </row>
    <row r="155" spans="8:15" x14ac:dyDescent="0.25">
      <c r="H155">
        <v>8159</v>
      </c>
      <c r="I155" s="3">
        <v>43156</v>
      </c>
      <c r="J155" t="s">
        <v>51</v>
      </c>
      <c r="K155" t="s">
        <v>106</v>
      </c>
      <c r="L155" t="s">
        <v>23</v>
      </c>
      <c r="M155">
        <v>2</v>
      </c>
      <c r="N155" s="4">
        <v>0</v>
      </c>
      <c r="O155" s="4">
        <v>7000</v>
      </c>
    </row>
    <row r="156" spans="8:15" x14ac:dyDescent="0.25">
      <c r="H156">
        <v>8160</v>
      </c>
      <c r="I156" s="3">
        <v>43258</v>
      </c>
      <c r="J156" t="s">
        <v>43</v>
      </c>
      <c r="K156" t="s">
        <v>65</v>
      </c>
      <c r="L156" t="s">
        <v>41</v>
      </c>
      <c r="M156">
        <v>1</v>
      </c>
      <c r="N156" s="4">
        <v>0</v>
      </c>
      <c r="O156" s="4">
        <v>4000</v>
      </c>
    </row>
    <row r="157" spans="8:15" x14ac:dyDescent="0.25">
      <c r="H157">
        <v>8161</v>
      </c>
      <c r="I157" s="3">
        <v>43259</v>
      </c>
      <c r="J157" t="s">
        <v>47</v>
      </c>
      <c r="K157" t="s">
        <v>55</v>
      </c>
      <c r="L157" t="s">
        <v>40</v>
      </c>
      <c r="M157">
        <v>2</v>
      </c>
      <c r="N157" s="4">
        <v>0</v>
      </c>
      <c r="O157" s="4">
        <v>15000</v>
      </c>
    </row>
    <row r="158" spans="8:15" x14ac:dyDescent="0.25">
      <c r="H158">
        <v>8162</v>
      </c>
      <c r="I158" s="3">
        <v>43175</v>
      </c>
      <c r="J158" t="s">
        <v>49</v>
      </c>
      <c r="K158" t="s">
        <v>53</v>
      </c>
      <c r="L158" t="s">
        <v>31</v>
      </c>
      <c r="M158">
        <v>1</v>
      </c>
      <c r="N158" s="4">
        <v>0</v>
      </c>
      <c r="O158" s="4">
        <v>11000</v>
      </c>
    </row>
    <row r="159" spans="8:15" x14ac:dyDescent="0.25">
      <c r="H159">
        <v>8163</v>
      </c>
      <c r="I159" s="3">
        <v>43337</v>
      </c>
      <c r="J159" t="s">
        <v>52</v>
      </c>
      <c r="K159" t="s">
        <v>53</v>
      </c>
      <c r="L159" t="s">
        <v>35</v>
      </c>
      <c r="M159">
        <v>1</v>
      </c>
      <c r="N159" s="4">
        <v>0</v>
      </c>
      <c r="O159" s="4">
        <v>7500</v>
      </c>
    </row>
    <row r="160" spans="8:15" x14ac:dyDescent="0.25">
      <c r="H160">
        <v>8164</v>
      </c>
      <c r="I160" s="3">
        <v>43266</v>
      </c>
      <c r="J160" t="s">
        <v>46</v>
      </c>
      <c r="K160" t="s">
        <v>63</v>
      </c>
      <c r="L160" t="s">
        <v>20</v>
      </c>
      <c r="M160">
        <v>1</v>
      </c>
      <c r="N160" s="4">
        <v>0</v>
      </c>
      <c r="O160" s="4">
        <v>7500</v>
      </c>
    </row>
    <row r="161" spans="8:15" x14ac:dyDescent="0.25">
      <c r="H161">
        <v>8165</v>
      </c>
      <c r="I161" s="3">
        <v>43346</v>
      </c>
      <c r="J161" t="s">
        <v>44</v>
      </c>
      <c r="K161" t="s">
        <v>63</v>
      </c>
      <c r="L161" t="s">
        <v>29</v>
      </c>
      <c r="M161">
        <v>2</v>
      </c>
      <c r="N161" s="4">
        <v>0</v>
      </c>
      <c r="O161" s="4">
        <v>18000</v>
      </c>
    </row>
    <row r="162" spans="8:15" x14ac:dyDescent="0.25">
      <c r="H162">
        <v>8166</v>
      </c>
      <c r="I162" s="3">
        <v>43214</v>
      </c>
      <c r="J162" t="s">
        <v>45</v>
      </c>
      <c r="K162" t="s">
        <v>57</v>
      </c>
      <c r="L162" t="s">
        <v>21</v>
      </c>
      <c r="M162">
        <v>1</v>
      </c>
      <c r="N162" s="4">
        <v>0</v>
      </c>
      <c r="O162" s="4">
        <v>14000</v>
      </c>
    </row>
    <row r="163" spans="8:15" x14ac:dyDescent="0.25">
      <c r="H163">
        <v>8167</v>
      </c>
      <c r="I163" s="3">
        <v>43141</v>
      </c>
      <c r="J163" t="s">
        <v>45</v>
      </c>
      <c r="K163" t="s">
        <v>59</v>
      </c>
      <c r="L163" t="s">
        <v>39</v>
      </c>
      <c r="M163">
        <v>2</v>
      </c>
      <c r="N163" s="4">
        <v>0</v>
      </c>
      <c r="O163" s="4">
        <v>25000</v>
      </c>
    </row>
    <row r="164" spans="8:15" x14ac:dyDescent="0.25">
      <c r="H164">
        <v>8168</v>
      </c>
      <c r="I164" s="3">
        <v>43363</v>
      </c>
      <c r="J164" t="s">
        <v>47</v>
      </c>
      <c r="K164" t="s">
        <v>60</v>
      </c>
      <c r="L164" t="s">
        <v>34</v>
      </c>
      <c r="M164">
        <v>1</v>
      </c>
      <c r="N164" s="4">
        <v>0</v>
      </c>
      <c r="O164" s="4">
        <v>6000</v>
      </c>
    </row>
    <row r="165" spans="8:15" x14ac:dyDescent="0.25">
      <c r="H165">
        <v>8169</v>
      </c>
      <c r="I165" s="3">
        <v>43155</v>
      </c>
      <c r="J165" t="s">
        <v>48</v>
      </c>
      <c r="K165" t="s">
        <v>58</v>
      </c>
      <c r="L165" t="s">
        <v>23</v>
      </c>
      <c r="M165">
        <v>4</v>
      </c>
      <c r="N165" s="4">
        <v>0</v>
      </c>
      <c r="O165" s="4">
        <v>14000</v>
      </c>
    </row>
    <row r="166" spans="8:15" x14ac:dyDescent="0.25">
      <c r="H166">
        <v>8170</v>
      </c>
      <c r="I166" s="3">
        <v>43281</v>
      </c>
      <c r="J166" t="s">
        <v>45</v>
      </c>
      <c r="K166" t="s">
        <v>54</v>
      </c>
      <c r="L166" t="s">
        <v>28</v>
      </c>
      <c r="M166">
        <v>3</v>
      </c>
      <c r="N166" s="4">
        <v>0</v>
      </c>
      <c r="O166" s="4">
        <v>22500</v>
      </c>
    </row>
    <row r="167" spans="8:15" x14ac:dyDescent="0.25">
      <c r="H167">
        <v>8171</v>
      </c>
      <c r="I167" s="3">
        <v>43249</v>
      </c>
      <c r="J167" t="s">
        <v>48</v>
      </c>
      <c r="K167" t="s">
        <v>64</v>
      </c>
      <c r="L167" t="s">
        <v>26</v>
      </c>
      <c r="M167">
        <v>4</v>
      </c>
      <c r="N167" s="4">
        <v>0</v>
      </c>
      <c r="O167" s="4">
        <v>10000</v>
      </c>
    </row>
    <row r="168" spans="8:15" x14ac:dyDescent="0.25">
      <c r="H168">
        <v>8172</v>
      </c>
      <c r="I168" s="3">
        <v>43398</v>
      </c>
      <c r="J168" t="s">
        <v>52</v>
      </c>
      <c r="K168" t="s">
        <v>53</v>
      </c>
      <c r="L168" t="s">
        <v>28</v>
      </c>
      <c r="M168">
        <v>3</v>
      </c>
      <c r="N168" s="4">
        <v>0</v>
      </c>
      <c r="O168" s="4">
        <v>22500</v>
      </c>
    </row>
    <row r="169" spans="8:15" x14ac:dyDescent="0.25">
      <c r="H169">
        <v>8173</v>
      </c>
      <c r="I169" s="3">
        <v>43246</v>
      </c>
      <c r="J169" t="s">
        <v>43</v>
      </c>
      <c r="K169" t="s">
        <v>106</v>
      </c>
      <c r="L169" t="s">
        <v>41</v>
      </c>
      <c r="M169">
        <v>1</v>
      </c>
      <c r="N169" s="4">
        <v>0</v>
      </c>
      <c r="O169" s="4">
        <v>4000</v>
      </c>
    </row>
    <row r="170" spans="8:15" x14ac:dyDescent="0.25">
      <c r="H170">
        <v>8174</v>
      </c>
      <c r="I170" s="3">
        <v>43238</v>
      </c>
      <c r="J170" t="s">
        <v>51</v>
      </c>
      <c r="K170" t="s">
        <v>53</v>
      </c>
      <c r="L170" t="s">
        <v>35</v>
      </c>
      <c r="M170">
        <v>2</v>
      </c>
      <c r="N170" s="4">
        <v>0</v>
      </c>
      <c r="O170" s="4">
        <v>15000</v>
      </c>
    </row>
    <row r="171" spans="8:15" x14ac:dyDescent="0.25">
      <c r="H171">
        <v>8175</v>
      </c>
      <c r="I171" s="3">
        <v>43195</v>
      </c>
      <c r="J171" t="s">
        <v>47</v>
      </c>
      <c r="K171" t="s">
        <v>59</v>
      </c>
      <c r="L171" t="s">
        <v>38</v>
      </c>
      <c r="M171">
        <v>4</v>
      </c>
      <c r="N171" s="4">
        <v>0</v>
      </c>
      <c r="O171" s="4">
        <v>16000</v>
      </c>
    </row>
    <row r="172" spans="8:15" x14ac:dyDescent="0.25">
      <c r="H172">
        <v>8176</v>
      </c>
      <c r="I172" s="3">
        <v>43383</v>
      </c>
      <c r="J172" t="s">
        <v>48</v>
      </c>
      <c r="K172" t="s">
        <v>58</v>
      </c>
      <c r="L172" t="s">
        <v>41</v>
      </c>
      <c r="M172">
        <v>2</v>
      </c>
      <c r="N172" s="4">
        <v>0</v>
      </c>
      <c r="O172" s="4">
        <v>8000</v>
      </c>
    </row>
    <row r="173" spans="8:15" x14ac:dyDescent="0.25">
      <c r="H173">
        <v>8177</v>
      </c>
      <c r="I173" s="3">
        <v>43320</v>
      </c>
      <c r="J173" t="s">
        <v>52</v>
      </c>
      <c r="K173" t="s">
        <v>53</v>
      </c>
      <c r="L173" t="s">
        <v>41</v>
      </c>
      <c r="M173">
        <v>3</v>
      </c>
      <c r="N173" s="4">
        <v>0</v>
      </c>
      <c r="O173" s="4">
        <v>12000</v>
      </c>
    </row>
    <row r="174" spans="8:15" x14ac:dyDescent="0.25">
      <c r="H174">
        <v>8178</v>
      </c>
      <c r="I174" s="3">
        <v>43255</v>
      </c>
      <c r="J174" t="s">
        <v>42</v>
      </c>
      <c r="K174" t="s">
        <v>106</v>
      </c>
      <c r="L174" t="s">
        <v>20</v>
      </c>
      <c r="M174">
        <v>2</v>
      </c>
      <c r="N174" s="4">
        <v>0</v>
      </c>
      <c r="O174" s="4">
        <v>15000</v>
      </c>
    </row>
    <row r="175" spans="8:15" x14ac:dyDescent="0.25">
      <c r="H175">
        <v>8179</v>
      </c>
      <c r="I175" s="3">
        <v>43386</v>
      </c>
      <c r="J175" t="s">
        <v>52</v>
      </c>
      <c r="K175" t="s">
        <v>55</v>
      </c>
      <c r="L175" t="s">
        <v>28</v>
      </c>
      <c r="M175">
        <v>4</v>
      </c>
      <c r="N175" s="4">
        <v>0</v>
      </c>
      <c r="O175" s="4">
        <v>30000</v>
      </c>
    </row>
    <row r="176" spans="8:15" x14ac:dyDescent="0.25">
      <c r="H176">
        <v>8180</v>
      </c>
      <c r="I176" s="3">
        <v>43407</v>
      </c>
      <c r="J176" t="s">
        <v>50</v>
      </c>
      <c r="K176" t="s">
        <v>54</v>
      </c>
      <c r="L176" t="s">
        <v>27</v>
      </c>
      <c r="M176">
        <v>1</v>
      </c>
      <c r="N176" s="4">
        <v>0</v>
      </c>
      <c r="O176" s="4">
        <v>4500</v>
      </c>
    </row>
    <row r="177" spans="8:15" x14ac:dyDescent="0.25">
      <c r="H177">
        <v>8181</v>
      </c>
      <c r="I177" s="3">
        <v>43141</v>
      </c>
      <c r="J177" t="s">
        <v>42</v>
      </c>
      <c r="K177" t="s">
        <v>60</v>
      </c>
      <c r="L177" t="s">
        <v>34</v>
      </c>
      <c r="M177">
        <v>4</v>
      </c>
      <c r="N177" s="4">
        <v>0</v>
      </c>
      <c r="O177" s="4">
        <v>24000</v>
      </c>
    </row>
    <row r="178" spans="8:15" x14ac:dyDescent="0.25">
      <c r="H178">
        <v>8182</v>
      </c>
      <c r="I178" s="3">
        <v>43338</v>
      </c>
      <c r="J178" t="s">
        <v>52</v>
      </c>
      <c r="K178" t="s">
        <v>55</v>
      </c>
      <c r="L178" t="s">
        <v>35</v>
      </c>
      <c r="M178">
        <v>3</v>
      </c>
      <c r="N178" s="4">
        <v>0</v>
      </c>
      <c r="O178" s="4">
        <v>22500</v>
      </c>
    </row>
    <row r="179" spans="8:15" x14ac:dyDescent="0.25">
      <c r="H179">
        <v>8183</v>
      </c>
      <c r="I179" s="3">
        <v>43251</v>
      </c>
      <c r="J179" t="s">
        <v>42</v>
      </c>
      <c r="K179" t="s">
        <v>59</v>
      </c>
      <c r="L179" t="s">
        <v>34</v>
      </c>
      <c r="M179">
        <v>3</v>
      </c>
      <c r="N179" s="4">
        <v>0</v>
      </c>
      <c r="O179" s="4">
        <v>18000</v>
      </c>
    </row>
    <row r="180" spans="8:15" x14ac:dyDescent="0.25">
      <c r="H180">
        <v>8184</v>
      </c>
      <c r="I180" s="3">
        <v>43159</v>
      </c>
      <c r="J180" t="s">
        <v>45</v>
      </c>
      <c r="K180" t="s">
        <v>58</v>
      </c>
      <c r="L180" t="s">
        <v>37</v>
      </c>
      <c r="M180">
        <v>1</v>
      </c>
      <c r="N180" s="4">
        <v>0</v>
      </c>
      <c r="O180" s="4">
        <v>5000</v>
      </c>
    </row>
    <row r="181" spans="8:15" x14ac:dyDescent="0.25">
      <c r="H181">
        <v>8185</v>
      </c>
      <c r="I181" s="3">
        <v>43177</v>
      </c>
      <c r="J181" t="s">
        <v>49</v>
      </c>
      <c r="K181" t="s">
        <v>53</v>
      </c>
      <c r="L181" t="s">
        <v>23</v>
      </c>
      <c r="M181">
        <v>1</v>
      </c>
      <c r="N181" s="4">
        <v>0</v>
      </c>
      <c r="O181" s="4">
        <v>3500</v>
      </c>
    </row>
    <row r="182" spans="8:15" x14ac:dyDescent="0.25">
      <c r="H182">
        <v>8186</v>
      </c>
      <c r="I182" s="3">
        <v>43349</v>
      </c>
      <c r="J182" t="s">
        <v>46</v>
      </c>
      <c r="K182" t="s">
        <v>60</v>
      </c>
      <c r="L182" t="s">
        <v>26</v>
      </c>
      <c r="M182">
        <v>7</v>
      </c>
      <c r="N182" s="4">
        <v>0</v>
      </c>
      <c r="O182" s="4">
        <v>17500</v>
      </c>
    </row>
    <row r="183" spans="8:15" x14ac:dyDescent="0.25">
      <c r="H183">
        <v>8187</v>
      </c>
      <c r="I183" s="3">
        <v>43119</v>
      </c>
      <c r="J183" t="s">
        <v>52</v>
      </c>
      <c r="K183" t="s">
        <v>56</v>
      </c>
      <c r="L183" t="s">
        <v>36</v>
      </c>
      <c r="M183">
        <v>1</v>
      </c>
      <c r="N183" s="4">
        <v>0</v>
      </c>
      <c r="O183" s="4">
        <v>8000</v>
      </c>
    </row>
    <row r="184" spans="8:15" x14ac:dyDescent="0.25">
      <c r="H184">
        <v>8188</v>
      </c>
      <c r="I184" s="3">
        <v>43381</v>
      </c>
      <c r="J184" t="s">
        <v>42</v>
      </c>
      <c r="K184" t="s">
        <v>65</v>
      </c>
      <c r="L184" t="s">
        <v>24</v>
      </c>
      <c r="M184">
        <v>3</v>
      </c>
      <c r="N184" s="4">
        <v>0</v>
      </c>
      <c r="O184" s="4">
        <v>27000</v>
      </c>
    </row>
    <row r="185" spans="8:15" x14ac:dyDescent="0.25">
      <c r="H185">
        <v>8189</v>
      </c>
      <c r="I185" s="3">
        <v>43357</v>
      </c>
      <c r="J185" t="s">
        <v>44</v>
      </c>
      <c r="K185" t="s">
        <v>58</v>
      </c>
      <c r="L185" t="s">
        <v>36</v>
      </c>
      <c r="M185">
        <v>1</v>
      </c>
      <c r="N185" s="4">
        <v>0</v>
      </c>
      <c r="O185" s="4">
        <v>8000</v>
      </c>
    </row>
    <row r="186" spans="8:15" x14ac:dyDescent="0.25">
      <c r="H186">
        <v>8190</v>
      </c>
      <c r="I186" s="3">
        <v>43267</v>
      </c>
      <c r="J186" t="s">
        <v>46</v>
      </c>
      <c r="K186" t="s">
        <v>60</v>
      </c>
      <c r="L186" t="s">
        <v>27</v>
      </c>
      <c r="M186">
        <v>1</v>
      </c>
      <c r="N186" s="4">
        <v>0</v>
      </c>
      <c r="O186" s="4">
        <v>4500</v>
      </c>
    </row>
    <row r="187" spans="8:15" x14ac:dyDescent="0.25">
      <c r="H187">
        <v>8191</v>
      </c>
      <c r="I187" s="3">
        <v>43146</v>
      </c>
      <c r="J187" t="s">
        <v>42</v>
      </c>
      <c r="K187" t="s">
        <v>53</v>
      </c>
      <c r="L187" t="s">
        <v>23</v>
      </c>
      <c r="M187">
        <v>4</v>
      </c>
      <c r="N187" s="4">
        <v>0</v>
      </c>
      <c r="O187" s="4">
        <v>14000</v>
      </c>
    </row>
    <row r="188" spans="8:15" x14ac:dyDescent="0.25">
      <c r="H188">
        <v>8192</v>
      </c>
      <c r="I188" s="3">
        <v>43325</v>
      </c>
      <c r="J188" t="e">
        <v>#REF!</v>
      </c>
      <c r="K188" t="s">
        <v>58</v>
      </c>
      <c r="L188" t="s">
        <v>27</v>
      </c>
      <c r="M188">
        <v>1</v>
      </c>
      <c r="N188" s="4">
        <v>0</v>
      </c>
      <c r="O188" s="4">
        <v>4500</v>
      </c>
    </row>
    <row r="189" spans="8:15" x14ac:dyDescent="0.25">
      <c r="H189">
        <v>8193</v>
      </c>
      <c r="I189" s="3">
        <v>43392</v>
      </c>
      <c r="J189" t="s">
        <v>48</v>
      </c>
      <c r="K189" t="s">
        <v>64</v>
      </c>
      <c r="L189" t="s">
        <v>34</v>
      </c>
      <c r="M189">
        <v>2</v>
      </c>
      <c r="N189" s="4">
        <v>0</v>
      </c>
      <c r="O189" s="4">
        <v>12000</v>
      </c>
    </row>
    <row r="190" spans="8:15" x14ac:dyDescent="0.25">
      <c r="H190">
        <v>8194</v>
      </c>
      <c r="I190" s="3">
        <v>43181</v>
      </c>
      <c r="J190" t="s">
        <v>42</v>
      </c>
      <c r="K190" t="s">
        <v>65</v>
      </c>
      <c r="L190" t="s">
        <v>39</v>
      </c>
      <c r="M190">
        <v>1</v>
      </c>
      <c r="N190" s="4">
        <v>0</v>
      </c>
      <c r="O190" s="4">
        <v>12500</v>
      </c>
    </row>
    <row r="191" spans="8:15" x14ac:dyDescent="0.25">
      <c r="H191">
        <v>8195</v>
      </c>
      <c r="I191" s="3">
        <v>43352</v>
      </c>
      <c r="J191" t="s">
        <v>52</v>
      </c>
      <c r="K191" t="s">
        <v>57</v>
      </c>
      <c r="L191" t="s">
        <v>27</v>
      </c>
      <c r="M191">
        <v>2</v>
      </c>
      <c r="N191" s="4">
        <v>0</v>
      </c>
      <c r="O191" s="4">
        <v>9000</v>
      </c>
    </row>
    <row r="192" spans="8:15" x14ac:dyDescent="0.25">
      <c r="H192">
        <v>8196</v>
      </c>
      <c r="I192" s="3">
        <v>43344</v>
      </c>
      <c r="J192" t="s">
        <v>49</v>
      </c>
      <c r="K192" t="s">
        <v>60</v>
      </c>
      <c r="L192" t="s">
        <v>19</v>
      </c>
      <c r="M192">
        <v>3</v>
      </c>
      <c r="N192" s="4">
        <v>0</v>
      </c>
      <c r="O192" s="4">
        <v>18000</v>
      </c>
    </row>
    <row r="193" spans="8:15" x14ac:dyDescent="0.25">
      <c r="H193">
        <v>8197</v>
      </c>
      <c r="I193" s="3">
        <v>43157</v>
      </c>
      <c r="J193" t="s">
        <v>49</v>
      </c>
      <c r="K193" t="s">
        <v>55</v>
      </c>
      <c r="L193" t="s">
        <v>39</v>
      </c>
      <c r="M193">
        <v>2</v>
      </c>
      <c r="N193" s="4">
        <v>0</v>
      </c>
      <c r="O193" s="4">
        <v>25000</v>
      </c>
    </row>
    <row r="194" spans="8:15" x14ac:dyDescent="0.25">
      <c r="H194">
        <v>8198</v>
      </c>
      <c r="I194" s="3">
        <v>43168</v>
      </c>
      <c r="J194" t="s">
        <v>51</v>
      </c>
      <c r="K194" t="s">
        <v>56</v>
      </c>
      <c r="L194" t="s">
        <v>26</v>
      </c>
      <c r="M194">
        <v>1</v>
      </c>
      <c r="N194" s="4">
        <v>0</v>
      </c>
      <c r="O194" s="4">
        <v>2500</v>
      </c>
    </row>
    <row r="195" spans="8:15" x14ac:dyDescent="0.25">
      <c r="H195">
        <v>8199</v>
      </c>
      <c r="I195" s="3">
        <v>43387</v>
      </c>
      <c r="J195" t="s">
        <v>44</v>
      </c>
      <c r="K195" t="s">
        <v>53</v>
      </c>
      <c r="L195" t="s">
        <v>24</v>
      </c>
      <c r="M195">
        <v>4</v>
      </c>
      <c r="N195" s="4">
        <v>0</v>
      </c>
      <c r="O195" s="4">
        <v>36000</v>
      </c>
    </row>
    <row r="196" spans="8:15" x14ac:dyDescent="0.25">
      <c r="H196">
        <v>8200</v>
      </c>
      <c r="I196" s="3">
        <v>43268</v>
      </c>
      <c r="J196" t="s">
        <v>49</v>
      </c>
      <c r="K196" t="s">
        <v>61</v>
      </c>
      <c r="L196" t="s">
        <v>36</v>
      </c>
      <c r="M196">
        <v>1</v>
      </c>
      <c r="N196" s="4">
        <v>0</v>
      </c>
      <c r="O196" s="4">
        <v>8000</v>
      </c>
    </row>
    <row r="197" spans="8:15" x14ac:dyDescent="0.25">
      <c r="H197">
        <v>8201</v>
      </c>
      <c r="I197" s="3">
        <v>43315</v>
      </c>
      <c r="J197" t="s">
        <v>42</v>
      </c>
      <c r="K197" t="s">
        <v>65</v>
      </c>
      <c r="L197" t="s">
        <v>27</v>
      </c>
      <c r="M197">
        <v>3</v>
      </c>
      <c r="N197" s="4">
        <v>0</v>
      </c>
      <c r="O197" s="4">
        <v>13500</v>
      </c>
    </row>
    <row r="198" spans="8:15" x14ac:dyDescent="0.25">
      <c r="H198">
        <v>8202</v>
      </c>
      <c r="I198" s="3">
        <v>43399</v>
      </c>
      <c r="J198" t="s">
        <v>47</v>
      </c>
      <c r="K198" t="s">
        <v>60</v>
      </c>
      <c r="L198" t="s">
        <v>26</v>
      </c>
      <c r="M198">
        <v>1</v>
      </c>
      <c r="N198" s="4">
        <v>0</v>
      </c>
      <c r="O198" s="4">
        <v>2500</v>
      </c>
    </row>
    <row r="199" spans="8:15" x14ac:dyDescent="0.25">
      <c r="H199">
        <v>8203</v>
      </c>
      <c r="I199" s="3">
        <v>43183</v>
      </c>
      <c r="J199" t="s">
        <v>42</v>
      </c>
      <c r="K199" t="s">
        <v>106</v>
      </c>
      <c r="L199" t="s">
        <v>19</v>
      </c>
      <c r="M199">
        <v>1</v>
      </c>
      <c r="N199" s="4">
        <v>0</v>
      </c>
      <c r="O199" s="4">
        <v>6000</v>
      </c>
    </row>
    <row r="200" spans="8:15" x14ac:dyDescent="0.25">
      <c r="H200">
        <v>8204</v>
      </c>
      <c r="I200" s="3">
        <v>43109</v>
      </c>
      <c r="J200" t="s">
        <v>42</v>
      </c>
      <c r="K200" t="s">
        <v>64</v>
      </c>
      <c r="L200" t="s">
        <v>26</v>
      </c>
      <c r="M200">
        <v>3</v>
      </c>
      <c r="N200" s="4">
        <v>0</v>
      </c>
      <c r="O200" s="4">
        <v>7500</v>
      </c>
    </row>
    <row r="201" spans="8:15" x14ac:dyDescent="0.25">
      <c r="H201">
        <v>8205</v>
      </c>
      <c r="I201" s="3">
        <v>43175</v>
      </c>
      <c r="J201" t="s">
        <v>47</v>
      </c>
      <c r="K201" t="s">
        <v>54</v>
      </c>
      <c r="L201" t="s">
        <v>35</v>
      </c>
      <c r="M201">
        <v>7</v>
      </c>
      <c r="N201" s="4">
        <v>0</v>
      </c>
      <c r="O201" s="4">
        <v>52500</v>
      </c>
    </row>
    <row r="202" spans="8:15" x14ac:dyDescent="0.25">
      <c r="H202">
        <v>8206</v>
      </c>
      <c r="I202" s="3">
        <v>43299</v>
      </c>
      <c r="J202" t="s">
        <v>52</v>
      </c>
      <c r="K202" t="s">
        <v>58</v>
      </c>
      <c r="L202" t="s">
        <v>26</v>
      </c>
      <c r="M202">
        <v>3</v>
      </c>
      <c r="N202" s="4">
        <v>0</v>
      </c>
      <c r="O202" s="4">
        <v>7500</v>
      </c>
    </row>
    <row r="203" spans="8:15" x14ac:dyDescent="0.25">
      <c r="H203">
        <v>8207</v>
      </c>
      <c r="I203" s="3">
        <v>43376</v>
      </c>
      <c r="J203" t="s">
        <v>47</v>
      </c>
      <c r="K203" t="s">
        <v>63</v>
      </c>
      <c r="L203" t="s">
        <v>28</v>
      </c>
      <c r="M203">
        <v>1</v>
      </c>
      <c r="N203" s="4">
        <v>0</v>
      </c>
      <c r="O203" s="4">
        <v>7500</v>
      </c>
    </row>
    <row r="204" spans="8:15" x14ac:dyDescent="0.25">
      <c r="H204">
        <v>8208</v>
      </c>
      <c r="I204" s="3">
        <v>43339</v>
      </c>
      <c r="J204" t="s">
        <v>44</v>
      </c>
      <c r="K204" t="s">
        <v>64</v>
      </c>
      <c r="L204" t="s">
        <v>19</v>
      </c>
      <c r="M204">
        <v>3</v>
      </c>
      <c r="N204" s="4">
        <v>0</v>
      </c>
      <c r="O204" s="4">
        <v>18000</v>
      </c>
    </row>
    <row r="205" spans="8:15" x14ac:dyDescent="0.25">
      <c r="H205">
        <v>8209</v>
      </c>
      <c r="I205" s="3">
        <v>43130</v>
      </c>
      <c r="J205" t="s">
        <v>48</v>
      </c>
      <c r="K205" t="s">
        <v>60</v>
      </c>
      <c r="L205" t="s">
        <v>19</v>
      </c>
      <c r="M205">
        <v>1</v>
      </c>
      <c r="N205" s="4">
        <v>0</v>
      </c>
      <c r="O205" s="4">
        <v>6000</v>
      </c>
    </row>
    <row r="206" spans="8:15" x14ac:dyDescent="0.25">
      <c r="H206">
        <v>8210</v>
      </c>
      <c r="I206" s="3">
        <v>43266</v>
      </c>
      <c r="J206" t="s">
        <v>49</v>
      </c>
      <c r="K206" t="s">
        <v>65</v>
      </c>
      <c r="L206" t="s">
        <v>34</v>
      </c>
      <c r="M206">
        <v>2</v>
      </c>
      <c r="N206" s="4">
        <v>0</v>
      </c>
      <c r="O206" s="4">
        <v>12000</v>
      </c>
    </row>
    <row r="207" spans="8:15" x14ac:dyDescent="0.25">
      <c r="H207">
        <v>8211</v>
      </c>
      <c r="I207" s="3">
        <v>43186</v>
      </c>
      <c r="J207" t="s">
        <v>46</v>
      </c>
      <c r="K207" t="s">
        <v>57</v>
      </c>
      <c r="L207" t="s">
        <v>35</v>
      </c>
      <c r="M207">
        <v>2</v>
      </c>
      <c r="N207" s="4">
        <v>0</v>
      </c>
      <c r="O207" s="4">
        <v>15000</v>
      </c>
    </row>
    <row r="208" spans="8:15" x14ac:dyDescent="0.25">
      <c r="H208">
        <v>8212</v>
      </c>
      <c r="I208" s="3">
        <v>43195</v>
      </c>
      <c r="J208" t="s">
        <v>48</v>
      </c>
      <c r="K208" t="s">
        <v>60</v>
      </c>
      <c r="L208" t="s">
        <v>34</v>
      </c>
      <c r="M208">
        <v>3</v>
      </c>
      <c r="N208" s="4">
        <v>0</v>
      </c>
      <c r="O208" s="4">
        <v>18000</v>
      </c>
    </row>
    <row r="209" spans="8:15" x14ac:dyDescent="0.25">
      <c r="H209">
        <v>8213</v>
      </c>
      <c r="I209" s="3">
        <v>43149</v>
      </c>
      <c r="J209" t="s">
        <v>49</v>
      </c>
      <c r="K209" t="s">
        <v>65</v>
      </c>
      <c r="L209" t="s">
        <v>39</v>
      </c>
      <c r="M209">
        <v>2</v>
      </c>
      <c r="N209" s="4">
        <v>0</v>
      </c>
      <c r="O209" s="4">
        <v>25000</v>
      </c>
    </row>
    <row r="210" spans="8:15" x14ac:dyDescent="0.25">
      <c r="H210">
        <v>8214</v>
      </c>
      <c r="I210" s="3">
        <v>43219</v>
      </c>
      <c r="J210" t="s">
        <v>42</v>
      </c>
      <c r="K210" t="s">
        <v>63</v>
      </c>
      <c r="L210" t="s">
        <v>23</v>
      </c>
      <c r="M210">
        <v>3</v>
      </c>
      <c r="N210" s="4">
        <v>0</v>
      </c>
      <c r="O210" s="4">
        <v>10500</v>
      </c>
    </row>
    <row r="211" spans="8:15" x14ac:dyDescent="0.25">
      <c r="H211">
        <v>8215</v>
      </c>
      <c r="I211" s="3">
        <v>43167</v>
      </c>
      <c r="J211" t="s">
        <v>45</v>
      </c>
      <c r="K211" t="s">
        <v>63</v>
      </c>
      <c r="L211" t="s">
        <v>21</v>
      </c>
      <c r="M211">
        <v>4</v>
      </c>
      <c r="N211" s="4">
        <v>0</v>
      </c>
      <c r="O211" s="4">
        <v>56000</v>
      </c>
    </row>
    <row r="212" spans="8:15" x14ac:dyDescent="0.25">
      <c r="H212">
        <v>8216</v>
      </c>
      <c r="I212" s="3">
        <v>43231</v>
      </c>
      <c r="J212" t="s">
        <v>45</v>
      </c>
      <c r="K212" t="s">
        <v>65</v>
      </c>
      <c r="L212" t="s">
        <v>39</v>
      </c>
      <c r="M212">
        <v>2</v>
      </c>
      <c r="N212" s="4">
        <v>0</v>
      </c>
      <c r="O212" s="4">
        <v>25000</v>
      </c>
    </row>
    <row r="213" spans="8:15" x14ac:dyDescent="0.25">
      <c r="H213">
        <v>8217</v>
      </c>
      <c r="I213" s="3">
        <v>43195</v>
      </c>
      <c r="J213" t="s">
        <v>43</v>
      </c>
      <c r="K213" t="s">
        <v>58</v>
      </c>
      <c r="L213" t="s">
        <v>27</v>
      </c>
      <c r="M213">
        <v>1</v>
      </c>
      <c r="N213" s="4">
        <v>0</v>
      </c>
      <c r="O213" s="4">
        <v>4500</v>
      </c>
    </row>
    <row r="214" spans="8:15" x14ac:dyDescent="0.25">
      <c r="H214">
        <v>8218</v>
      </c>
      <c r="I214" s="3">
        <v>43158</v>
      </c>
      <c r="J214" t="s">
        <v>49</v>
      </c>
      <c r="K214" t="s">
        <v>53</v>
      </c>
      <c r="L214" t="s">
        <v>36</v>
      </c>
      <c r="M214">
        <v>1</v>
      </c>
      <c r="N214" s="4">
        <v>0</v>
      </c>
      <c r="O214" s="4">
        <v>8000</v>
      </c>
    </row>
    <row r="215" spans="8:15" x14ac:dyDescent="0.25">
      <c r="H215">
        <v>8219</v>
      </c>
      <c r="I215" s="3">
        <v>43225</v>
      </c>
      <c r="J215" t="s">
        <v>51</v>
      </c>
      <c r="K215" t="s">
        <v>65</v>
      </c>
      <c r="L215" t="s">
        <v>19</v>
      </c>
      <c r="M215">
        <v>2</v>
      </c>
      <c r="N215" s="4">
        <v>0</v>
      </c>
      <c r="O215" s="4">
        <v>12000</v>
      </c>
    </row>
    <row r="216" spans="8:15" x14ac:dyDescent="0.25">
      <c r="H216">
        <v>8220</v>
      </c>
      <c r="I216" s="3">
        <v>43351</v>
      </c>
      <c r="J216" t="s">
        <v>49</v>
      </c>
      <c r="K216" t="s">
        <v>65</v>
      </c>
      <c r="L216" t="s">
        <v>28</v>
      </c>
      <c r="M216">
        <v>3</v>
      </c>
      <c r="N216" s="4">
        <v>0</v>
      </c>
      <c r="O216" s="4">
        <v>22500</v>
      </c>
    </row>
    <row r="217" spans="8:15" x14ac:dyDescent="0.25">
      <c r="H217">
        <v>8221</v>
      </c>
      <c r="I217" s="3">
        <v>43398</v>
      </c>
      <c r="J217" t="s">
        <v>49</v>
      </c>
      <c r="K217" t="s">
        <v>106</v>
      </c>
      <c r="L217" t="s">
        <v>35</v>
      </c>
      <c r="M217">
        <v>2</v>
      </c>
      <c r="N217" s="4">
        <v>0</v>
      </c>
      <c r="O217" s="4">
        <v>15000</v>
      </c>
    </row>
    <row r="218" spans="8:15" x14ac:dyDescent="0.25">
      <c r="H218">
        <v>8222</v>
      </c>
      <c r="I218" s="3">
        <v>43320</v>
      </c>
      <c r="J218" t="s">
        <v>52</v>
      </c>
      <c r="K218" t="s">
        <v>53</v>
      </c>
      <c r="L218" t="s">
        <v>38</v>
      </c>
      <c r="M218">
        <v>1</v>
      </c>
      <c r="N218" s="4">
        <v>0</v>
      </c>
      <c r="O218" s="4">
        <v>4000</v>
      </c>
    </row>
    <row r="219" spans="8:15" x14ac:dyDescent="0.25">
      <c r="H219">
        <v>8223</v>
      </c>
      <c r="I219" s="3">
        <v>43268</v>
      </c>
      <c r="J219" t="s">
        <v>52</v>
      </c>
      <c r="K219" t="s">
        <v>65</v>
      </c>
      <c r="L219" t="s">
        <v>27</v>
      </c>
      <c r="M219">
        <v>2</v>
      </c>
      <c r="N219" s="4">
        <v>0</v>
      </c>
      <c r="O219" s="4">
        <v>9000</v>
      </c>
    </row>
    <row r="220" spans="8:15" x14ac:dyDescent="0.25">
      <c r="H220">
        <v>8224</v>
      </c>
      <c r="I220" s="3">
        <v>43229</v>
      </c>
      <c r="J220" t="s">
        <v>46</v>
      </c>
      <c r="K220" t="s">
        <v>58</v>
      </c>
      <c r="L220" t="s">
        <v>22</v>
      </c>
      <c r="M220">
        <v>1</v>
      </c>
      <c r="N220" s="4">
        <v>0</v>
      </c>
      <c r="O220" s="4">
        <v>4500</v>
      </c>
    </row>
    <row r="221" spans="8:15" x14ac:dyDescent="0.25">
      <c r="H221">
        <v>8225</v>
      </c>
      <c r="I221" s="3">
        <v>43355</v>
      </c>
      <c r="J221" t="s">
        <v>47</v>
      </c>
      <c r="K221" t="s">
        <v>64</v>
      </c>
      <c r="L221" t="s">
        <v>23</v>
      </c>
      <c r="M221">
        <v>1</v>
      </c>
      <c r="N221" s="4">
        <v>0</v>
      </c>
      <c r="O221" s="4">
        <v>3500</v>
      </c>
    </row>
    <row r="222" spans="8:15" x14ac:dyDescent="0.25">
      <c r="H222">
        <v>8226</v>
      </c>
      <c r="I222" s="3">
        <v>43310</v>
      </c>
      <c r="J222" t="s">
        <v>46</v>
      </c>
      <c r="K222" t="s">
        <v>60</v>
      </c>
      <c r="L222" t="s">
        <v>35</v>
      </c>
      <c r="M222">
        <v>4</v>
      </c>
      <c r="N222" s="4">
        <v>0</v>
      </c>
      <c r="O222" s="4">
        <v>30000</v>
      </c>
    </row>
    <row r="223" spans="8:15" x14ac:dyDescent="0.25">
      <c r="H223">
        <v>8227</v>
      </c>
      <c r="I223" s="3">
        <v>43249</v>
      </c>
      <c r="J223" t="s">
        <v>49</v>
      </c>
      <c r="K223" t="s">
        <v>63</v>
      </c>
      <c r="L223" t="s">
        <v>35</v>
      </c>
      <c r="M223">
        <v>1</v>
      </c>
      <c r="N223" s="4">
        <v>0</v>
      </c>
      <c r="O223" s="4">
        <v>7500</v>
      </c>
    </row>
    <row r="224" spans="8:15" x14ac:dyDescent="0.25">
      <c r="H224">
        <v>8228</v>
      </c>
      <c r="I224" s="3">
        <v>43396</v>
      </c>
      <c r="J224" t="s">
        <v>48</v>
      </c>
      <c r="K224" t="s">
        <v>64</v>
      </c>
      <c r="L224" t="s">
        <v>22</v>
      </c>
      <c r="M224">
        <v>3</v>
      </c>
      <c r="N224" s="4">
        <v>0</v>
      </c>
      <c r="O224" s="4">
        <v>13500</v>
      </c>
    </row>
    <row r="225" spans="8:15" x14ac:dyDescent="0.25">
      <c r="H225">
        <v>8229</v>
      </c>
      <c r="I225" s="3">
        <v>43115</v>
      </c>
      <c r="J225" t="s">
        <v>51</v>
      </c>
      <c r="K225" t="s">
        <v>55</v>
      </c>
      <c r="L225" t="s">
        <v>21</v>
      </c>
      <c r="M225">
        <v>1</v>
      </c>
      <c r="N225" s="4">
        <v>0</v>
      </c>
      <c r="O225" s="4">
        <v>14000</v>
      </c>
    </row>
    <row r="226" spans="8:15" x14ac:dyDescent="0.25">
      <c r="H226">
        <v>8230</v>
      </c>
      <c r="I226" s="3">
        <v>43153</v>
      </c>
      <c r="J226" t="s">
        <v>42</v>
      </c>
      <c r="K226" t="s">
        <v>65</v>
      </c>
      <c r="L226" t="s">
        <v>33</v>
      </c>
      <c r="M226">
        <v>4</v>
      </c>
      <c r="N226" s="4">
        <v>0</v>
      </c>
      <c r="O226" s="4">
        <v>40000</v>
      </c>
    </row>
    <row r="227" spans="8:15" x14ac:dyDescent="0.25">
      <c r="H227">
        <v>8231</v>
      </c>
      <c r="I227" s="3">
        <v>43375</v>
      </c>
      <c r="J227" t="s">
        <v>47</v>
      </c>
      <c r="K227" t="s">
        <v>63</v>
      </c>
      <c r="L227" t="s">
        <v>26</v>
      </c>
      <c r="M227">
        <v>1</v>
      </c>
      <c r="N227" s="4">
        <v>0</v>
      </c>
      <c r="O227" s="4">
        <v>2500</v>
      </c>
    </row>
    <row r="228" spans="8:15" x14ac:dyDescent="0.25">
      <c r="H228">
        <v>8232</v>
      </c>
      <c r="I228" s="3">
        <v>43133</v>
      </c>
      <c r="J228" t="s">
        <v>44</v>
      </c>
      <c r="K228" t="s">
        <v>65</v>
      </c>
      <c r="L228" t="s">
        <v>34</v>
      </c>
      <c r="M228">
        <v>1</v>
      </c>
      <c r="N228" s="4">
        <v>0</v>
      </c>
      <c r="O228" s="4">
        <v>6000</v>
      </c>
    </row>
    <row r="229" spans="8:15" x14ac:dyDescent="0.25">
      <c r="H229">
        <v>8233</v>
      </c>
      <c r="I229" s="3">
        <v>43409</v>
      </c>
      <c r="J229" t="s">
        <v>49</v>
      </c>
      <c r="K229" t="s">
        <v>65</v>
      </c>
      <c r="L229" t="s">
        <v>35</v>
      </c>
      <c r="M229">
        <v>7</v>
      </c>
      <c r="N229" s="4">
        <v>0</v>
      </c>
      <c r="O229" s="4">
        <v>52500</v>
      </c>
    </row>
    <row r="230" spans="8:15" x14ac:dyDescent="0.25">
      <c r="H230">
        <v>8234</v>
      </c>
      <c r="I230" s="3">
        <v>43383</v>
      </c>
      <c r="J230" t="s">
        <v>50</v>
      </c>
      <c r="K230" t="s">
        <v>53</v>
      </c>
      <c r="L230" t="s">
        <v>28</v>
      </c>
      <c r="M230">
        <v>5</v>
      </c>
      <c r="N230" s="4">
        <v>100</v>
      </c>
      <c r="O230" s="4">
        <v>30000</v>
      </c>
    </row>
    <row r="231" spans="8:15" x14ac:dyDescent="0.25">
      <c r="H231">
        <v>8235</v>
      </c>
      <c r="I231" s="3">
        <v>43247</v>
      </c>
      <c r="J231" t="s">
        <v>46</v>
      </c>
      <c r="K231" t="s">
        <v>58</v>
      </c>
      <c r="L231" t="s">
        <v>35</v>
      </c>
      <c r="M231">
        <v>4</v>
      </c>
      <c r="N231" s="4">
        <v>0</v>
      </c>
      <c r="O231" s="4">
        <v>30000</v>
      </c>
    </row>
    <row r="232" spans="8:15" x14ac:dyDescent="0.25">
      <c r="H232">
        <v>8236</v>
      </c>
      <c r="I232" s="3">
        <v>43264</v>
      </c>
      <c r="J232" t="s">
        <v>49</v>
      </c>
      <c r="K232" t="s">
        <v>64</v>
      </c>
      <c r="L232" t="s">
        <v>34</v>
      </c>
      <c r="M232">
        <v>1</v>
      </c>
      <c r="N232" s="4">
        <v>0</v>
      </c>
      <c r="O232" s="4">
        <v>6000</v>
      </c>
    </row>
    <row r="233" spans="8:15" x14ac:dyDescent="0.25">
      <c r="H233">
        <v>8237</v>
      </c>
      <c r="I233" s="3">
        <v>43385</v>
      </c>
      <c r="J233" t="s">
        <v>52</v>
      </c>
      <c r="K233" t="s">
        <v>53</v>
      </c>
      <c r="L233" t="s">
        <v>27</v>
      </c>
      <c r="M233">
        <v>1</v>
      </c>
      <c r="N233" s="4">
        <v>0</v>
      </c>
      <c r="O233" s="4">
        <v>4500</v>
      </c>
    </row>
    <row r="234" spans="8:15" x14ac:dyDescent="0.25">
      <c r="H234">
        <v>8238</v>
      </c>
      <c r="I234" s="3">
        <v>43134</v>
      </c>
      <c r="J234" t="s">
        <v>52</v>
      </c>
      <c r="K234" t="s">
        <v>59</v>
      </c>
      <c r="L234" t="s">
        <v>28</v>
      </c>
      <c r="M234">
        <v>1</v>
      </c>
      <c r="N234" s="4">
        <v>0</v>
      </c>
      <c r="O234" s="4">
        <v>7500</v>
      </c>
    </row>
    <row r="235" spans="8:15" x14ac:dyDescent="0.25">
      <c r="H235">
        <v>8239</v>
      </c>
      <c r="I235" s="3">
        <v>43148</v>
      </c>
      <c r="J235" t="s">
        <v>46</v>
      </c>
      <c r="K235" t="s">
        <v>53</v>
      </c>
      <c r="L235" t="s">
        <v>26</v>
      </c>
      <c r="M235">
        <v>2</v>
      </c>
      <c r="N235" s="4">
        <v>0</v>
      </c>
      <c r="O235" s="4">
        <v>5000</v>
      </c>
    </row>
    <row r="236" spans="8:15" x14ac:dyDescent="0.25">
      <c r="H236">
        <v>8240</v>
      </c>
      <c r="I236" s="3">
        <v>43275</v>
      </c>
      <c r="J236" t="s">
        <v>44</v>
      </c>
      <c r="K236" t="s">
        <v>57</v>
      </c>
      <c r="L236" t="s">
        <v>29</v>
      </c>
      <c r="M236">
        <v>1</v>
      </c>
      <c r="N236" s="4">
        <v>0</v>
      </c>
      <c r="O236" s="4">
        <v>9000</v>
      </c>
    </row>
    <row r="237" spans="8:15" x14ac:dyDescent="0.25">
      <c r="H237">
        <v>8241</v>
      </c>
      <c r="I237" s="3">
        <v>43267</v>
      </c>
      <c r="J237" t="s">
        <v>45</v>
      </c>
      <c r="K237" t="s">
        <v>106</v>
      </c>
      <c r="L237" t="s">
        <v>23</v>
      </c>
      <c r="M237">
        <v>3</v>
      </c>
      <c r="N237" s="4">
        <v>0</v>
      </c>
      <c r="O237" s="4">
        <v>10500</v>
      </c>
    </row>
    <row r="238" spans="8:15" x14ac:dyDescent="0.25">
      <c r="H238">
        <v>8242</v>
      </c>
      <c r="I238" s="3">
        <v>43136</v>
      </c>
      <c r="J238" t="s">
        <v>50</v>
      </c>
      <c r="K238" t="s">
        <v>53</v>
      </c>
      <c r="L238" t="s">
        <v>37</v>
      </c>
      <c r="M238">
        <v>4</v>
      </c>
      <c r="N238" s="4">
        <v>0</v>
      </c>
      <c r="O238" s="4">
        <v>20000</v>
      </c>
    </row>
    <row r="239" spans="8:15" x14ac:dyDescent="0.25">
      <c r="H239">
        <v>8243</v>
      </c>
      <c r="I239" s="3">
        <v>43166</v>
      </c>
      <c r="J239" t="s">
        <v>42</v>
      </c>
      <c r="K239" t="s">
        <v>60</v>
      </c>
      <c r="L239" t="s">
        <v>28</v>
      </c>
      <c r="M239">
        <v>1</v>
      </c>
      <c r="N239" s="4">
        <v>0</v>
      </c>
      <c r="O239" s="4">
        <v>7500</v>
      </c>
    </row>
    <row r="240" spans="8:15" x14ac:dyDescent="0.25">
      <c r="H240">
        <v>8244</v>
      </c>
      <c r="I240" s="3">
        <v>43148</v>
      </c>
      <c r="J240" t="s">
        <v>51</v>
      </c>
      <c r="K240" t="s">
        <v>58</v>
      </c>
      <c r="L240" t="s">
        <v>32</v>
      </c>
      <c r="M240">
        <v>1</v>
      </c>
      <c r="N240" s="4">
        <v>0</v>
      </c>
      <c r="O240" s="4">
        <v>3000</v>
      </c>
    </row>
    <row r="241" spans="8:15" x14ac:dyDescent="0.25">
      <c r="H241">
        <v>8245</v>
      </c>
      <c r="I241" s="3">
        <v>43366</v>
      </c>
      <c r="J241" t="s">
        <v>52</v>
      </c>
      <c r="K241" t="s">
        <v>60</v>
      </c>
      <c r="L241" t="s">
        <v>35</v>
      </c>
      <c r="M241">
        <v>1</v>
      </c>
      <c r="N241" s="4">
        <v>0</v>
      </c>
      <c r="O241" s="4">
        <v>7500</v>
      </c>
    </row>
    <row r="242" spans="8:15" x14ac:dyDescent="0.25">
      <c r="H242">
        <v>8246</v>
      </c>
      <c r="I242" s="3">
        <v>43287</v>
      </c>
      <c r="J242" t="s">
        <v>50</v>
      </c>
      <c r="K242" t="s">
        <v>59</v>
      </c>
      <c r="L242" t="s">
        <v>22</v>
      </c>
      <c r="M242">
        <v>4</v>
      </c>
      <c r="N242" s="4">
        <v>0</v>
      </c>
      <c r="O242" s="4">
        <v>18000</v>
      </c>
    </row>
    <row r="243" spans="8:15" x14ac:dyDescent="0.25">
      <c r="H243">
        <v>8247</v>
      </c>
      <c r="I243" s="3">
        <v>43229</v>
      </c>
      <c r="J243" t="s">
        <v>48</v>
      </c>
      <c r="K243" t="s">
        <v>65</v>
      </c>
      <c r="L243" t="s">
        <v>38</v>
      </c>
      <c r="M243">
        <v>1</v>
      </c>
      <c r="N243" s="4">
        <v>0</v>
      </c>
      <c r="O243" s="4">
        <v>4000</v>
      </c>
    </row>
    <row r="244" spans="8:15" x14ac:dyDescent="0.25">
      <c r="H244">
        <v>8248</v>
      </c>
      <c r="I244" s="3">
        <v>43409</v>
      </c>
      <c r="J244" t="s">
        <v>49</v>
      </c>
      <c r="K244" t="s">
        <v>65</v>
      </c>
      <c r="L244" t="s">
        <v>20</v>
      </c>
      <c r="M244">
        <v>4</v>
      </c>
      <c r="N244" s="4">
        <v>0</v>
      </c>
      <c r="O244" s="4">
        <v>30000</v>
      </c>
    </row>
    <row r="245" spans="8:15" x14ac:dyDescent="0.25">
      <c r="H245">
        <v>8249</v>
      </c>
      <c r="I245" s="3">
        <v>43201</v>
      </c>
      <c r="J245" t="s">
        <v>42</v>
      </c>
      <c r="K245" t="s">
        <v>60</v>
      </c>
      <c r="L245" t="s">
        <v>35</v>
      </c>
      <c r="M245">
        <v>1</v>
      </c>
      <c r="N245" s="4">
        <v>0</v>
      </c>
      <c r="O245" s="4">
        <v>7500</v>
      </c>
    </row>
    <row r="246" spans="8:15" x14ac:dyDescent="0.25">
      <c r="H246">
        <v>8250</v>
      </c>
      <c r="I246" s="3">
        <v>43147</v>
      </c>
      <c r="J246" t="s">
        <v>52</v>
      </c>
      <c r="K246" t="s">
        <v>63</v>
      </c>
      <c r="L246" t="s">
        <v>22</v>
      </c>
      <c r="M246">
        <v>1</v>
      </c>
      <c r="N246" s="4">
        <v>0</v>
      </c>
      <c r="O246" s="4">
        <v>4500</v>
      </c>
    </row>
    <row r="247" spans="8:15" x14ac:dyDescent="0.25">
      <c r="H247">
        <v>8251</v>
      </c>
      <c r="I247" s="3">
        <v>43148</v>
      </c>
      <c r="J247" t="s">
        <v>49</v>
      </c>
      <c r="K247" t="s">
        <v>53</v>
      </c>
      <c r="L247" t="s">
        <v>36</v>
      </c>
      <c r="M247">
        <v>4</v>
      </c>
      <c r="N247" s="4">
        <v>0</v>
      </c>
      <c r="O247" s="4">
        <v>32000</v>
      </c>
    </row>
    <row r="248" spans="8:15" x14ac:dyDescent="0.25">
      <c r="H248">
        <v>8252</v>
      </c>
      <c r="I248" s="3">
        <v>43209</v>
      </c>
      <c r="J248" t="s">
        <v>49</v>
      </c>
      <c r="K248" t="s">
        <v>58</v>
      </c>
      <c r="L248" t="s">
        <v>34</v>
      </c>
      <c r="M248">
        <v>1</v>
      </c>
      <c r="N248" s="4">
        <v>0</v>
      </c>
      <c r="O248" s="4">
        <v>6000</v>
      </c>
    </row>
    <row r="249" spans="8:15" x14ac:dyDescent="0.25">
      <c r="H249">
        <v>8253</v>
      </c>
      <c r="I249" s="3">
        <v>43488.852870370371</v>
      </c>
      <c r="J249" t="s">
        <v>105</v>
      </c>
      <c r="K249" t="s">
        <v>53</v>
      </c>
      <c r="L249" t="s">
        <v>39</v>
      </c>
      <c r="M249">
        <v>2</v>
      </c>
      <c r="N249" s="4">
        <v>100</v>
      </c>
      <c r="O249" s="4">
        <v>24900</v>
      </c>
    </row>
    <row r="250" spans="8:15" x14ac:dyDescent="0.25">
      <c r="H250">
        <v>8254</v>
      </c>
      <c r="I250" s="3">
        <v>43787</v>
      </c>
      <c r="J250" t="s">
        <v>113</v>
      </c>
      <c r="K250" t="s">
        <v>60</v>
      </c>
      <c r="L250" t="s">
        <v>23</v>
      </c>
      <c r="M250">
        <v>50</v>
      </c>
      <c r="N250" s="4">
        <v>20</v>
      </c>
      <c r="O250" s="4">
        <v>174980</v>
      </c>
    </row>
    <row r="251" spans="8:15" x14ac:dyDescent="0.25">
      <c r="H251">
        <v>8255</v>
      </c>
      <c r="I251" s="3">
        <v>43808</v>
      </c>
      <c r="J251" t="s">
        <v>116</v>
      </c>
      <c r="K251" t="s">
        <v>60</v>
      </c>
      <c r="L251" t="s">
        <v>21</v>
      </c>
      <c r="M251">
        <v>9</v>
      </c>
      <c r="N251" s="4">
        <v>0</v>
      </c>
      <c r="O251" s="4">
        <v>126000</v>
      </c>
    </row>
    <row r="252" spans="8:15" x14ac:dyDescent="0.25">
      <c r="I252" s="3"/>
    </row>
  </sheetData>
  <sortState xmlns:xlrd2="http://schemas.microsoft.com/office/spreadsheetml/2017/richdata2" ref="I2:I74">
    <sortCondition ref="I2:I7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order.addorder">
                <anchor moveWithCells="1" sizeWithCells="1">
                  <from>
                    <xdr:col>0</xdr:col>
                    <xdr:colOff>638175</xdr:colOff>
                    <xdr:row>2</xdr:row>
                    <xdr:rowOff>9525</xdr:rowOff>
                  </from>
                  <to>
                    <xdr:col>5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move_Order.remove_order">
                <anchor moveWithCells="1" sizeWithCells="1">
                  <from>
                    <xdr:col>0</xdr:col>
                    <xdr:colOff>638175</xdr:colOff>
                    <xdr:row>6</xdr:row>
                    <xdr:rowOff>66675</xdr:rowOff>
                  </from>
                  <to>
                    <xdr:col>5</xdr:col>
                    <xdr:colOff>9525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ify_Order.modify_order">
                <anchor moveWithCells="1" sizeWithCells="1">
                  <from>
                    <xdr:col>1</xdr:col>
                    <xdr:colOff>9525</xdr:colOff>
                    <xdr:row>10</xdr:row>
                    <xdr:rowOff>66675</xdr:rowOff>
                  </from>
                  <to>
                    <xdr:col>4</xdr:col>
                    <xdr:colOff>638175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AFEA-B78F-4FCF-83E0-8F3C14A46304}">
  <sheetPr codeName="Sheet3"/>
  <dimension ref="G1:P47"/>
  <sheetViews>
    <sheetView workbookViewId="0">
      <selection activeCell="K9" sqref="K9"/>
    </sheetView>
  </sheetViews>
  <sheetFormatPr defaultRowHeight="15" x14ac:dyDescent="0.25"/>
  <cols>
    <col min="7" max="7" width="19.85546875" bestFit="1" customWidth="1"/>
    <col min="8" max="9" width="20.7109375" bestFit="1" customWidth="1"/>
    <col min="10" max="10" width="10.28515625" bestFit="1" customWidth="1"/>
    <col min="11" max="11" width="13.7109375" style="14" bestFit="1" customWidth="1"/>
    <col min="12" max="14" width="10.28515625" bestFit="1" customWidth="1"/>
    <col min="16" max="16" width="10.28515625" bestFit="1" customWidth="1"/>
  </cols>
  <sheetData>
    <row r="1" spans="7:16" x14ac:dyDescent="0.25">
      <c r="G1" t="s">
        <v>96</v>
      </c>
      <c r="H1" t="s">
        <v>4</v>
      </c>
      <c r="I1" t="s">
        <v>87</v>
      </c>
      <c r="J1" t="s">
        <v>107</v>
      </c>
      <c r="K1" s="14" t="s">
        <v>88</v>
      </c>
    </row>
    <row r="2" spans="7:16" x14ac:dyDescent="0.25">
      <c r="G2">
        <v>5001</v>
      </c>
      <c r="H2" s="3">
        <v>43105</v>
      </c>
      <c r="I2" t="s">
        <v>81</v>
      </c>
      <c r="J2" t="s">
        <v>109</v>
      </c>
      <c r="K2" s="14">
        <v>2000</v>
      </c>
    </row>
    <row r="3" spans="7:16" x14ac:dyDescent="0.25">
      <c r="G3">
        <f>G2+1</f>
        <v>5002</v>
      </c>
      <c r="H3" s="3">
        <v>43106</v>
      </c>
      <c r="I3" t="s">
        <v>84</v>
      </c>
      <c r="J3" t="s">
        <v>110</v>
      </c>
      <c r="K3" s="14">
        <v>77350</v>
      </c>
    </row>
    <row r="4" spans="7:16" x14ac:dyDescent="0.25">
      <c r="G4">
        <f t="shared" ref="G4:G13" si="0">G3+1</f>
        <v>5003</v>
      </c>
      <c r="H4" s="3">
        <v>43109</v>
      </c>
      <c r="I4" t="s">
        <v>86</v>
      </c>
      <c r="J4" t="s">
        <v>108</v>
      </c>
      <c r="K4" s="14">
        <v>69650</v>
      </c>
      <c r="P4" s="3"/>
    </row>
    <row r="5" spans="7:16" x14ac:dyDescent="0.25">
      <c r="G5">
        <f t="shared" si="0"/>
        <v>5004</v>
      </c>
      <c r="H5" s="3">
        <v>43115</v>
      </c>
      <c r="I5" s="3" t="s">
        <v>82</v>
      </c>
      <c r="J5" t="s">
        <v>109</v>
      </c>
      <c r="K5" s="14">
        <v>15000</v>
      </c>
      <c r="P5" s="3"/>
    </row>
    <row r="6" spans="7:16" x14ac:dyDescent="0.25">
      <c r="G6">
        <f t="shared" si="0"/>
        <v>5005</v>
      </c>
      <c r="H6" s="3">
        <v>43121</v>
      </c>
      <c r="I6" t="s">
        <v>86</v>
      </c>
      <c r="J6" t="s">
        <v>108</v>
      </c>
      <c r="K6" s="14">
        <v>36050</v>
      </c>
      <c r="P6" s="3"/>
    </row>
    <row r="7" spans="7:16" x14ac:dyDescent="0.25">
      <c r="G7">
        <f t="shared" si="0"/>
        <v>5006</v>
      </c>
      <c r="H7" s="3">
        <v>43128</v>
      </c>
      <c r="I7" t="s">
        <v>86</v>
      </c>
      <c r="J7" t="s">
        <v>108</v>
      </c>
      <c r="K7" s="14">
        <v>81900</v>
      </c>
      <c r="P7" s="3"/>
    </row>
    <row r="8" spans="7:16" x14ac:dyDescent="0.25">
      <c r="G8">
        <f t="shared" si="0"/>
        <v>5007</v>
      </c>
      <c r="H8" s="3">
        <v>43131</v>
      </c>
      <c r="I8" t="s">
        <v>86</v>
      </c>
      <c r="J8" t="s">
        <v>108</v>
      </c>
      <c r="K8" s="14">
        <v>84000</v>
      </c>
      <c r="P8" s="3"/>
    </row>
    <row r="9" spans="7:16" x14ac:dyDescent="0.25">
      <c r="G9">
        <f t="shared" si="0"/>
        <v>5008</v>
      </c>
      <c r="H9" s="3">
        <v>43136</v>
      </c>
      <c r="I9" t="s">
        <v>81</v>
      </c>
      <c r="J9" t="s">
        <v>109</v>
      </c>
      <c r="K9" s="14">
        <v>2000</v>
      </c>
      <c r="P9" s="3"/>
    </row>
    <row r="10" spans="7:16" x14ac:dyDescent="0.25">
      <c r="G10">
        <f t="shared" si="0"/>
        <v>5009</v>
      </c>
      <c r="H10" s="3">
        <v>43146</v>
      </c>
      <c r="I10" s="3" t="s">
        <v>82</v>
      </c>
      <c r="J10" t="s">
        <v>109</v>
      </c>
      <c r="K10" s="14">
        <v>15000</v>
      </c>
      <c r="P10" s="3"/>
    </row>
    <row r="11" spans="7:16" x14ac:dyDescent="0.25">
      <c r="G11">
        <f t="shared" si="0"/>
        <v>5010</v>
      </c>
      <c r="H11" s="3">
        <v>43164</v>
      </c>
      <c r="I11" t="s">
        <v>84</v>
      </c>
      <c r="J11" t="s">
        <v>109</v>
      </c>
      <c r="K11" s="14">
        <v>2000</v>
      </c>
      <c r="P11" s="3"/>
    </row>
    <row r="12" spans="7:16" x14ac:dyDescent="0.25">
      <c r="G12">
        <f t="shared" si="0"/>
        <v>5011</v>
      </c>
      <c r="H12" s="3">
        <v>43170</v>
      </c>
      <c r="I12" t="s">
        <v>84</v>
      </c>
      <c r="J12" t="s">
        <v>110</v>
      </c>
      <c r="K12" s="14">
        <v>102000</v>
      </c>
      <c r="P12" s="3"/>
    </row>
    <row r="13" spans="7:16" x14ac:dyDescent="0.25">
      <c r="G13">
        <f t="shared" si="0"/>
        <v>5012</v>
      </c>
      <c r="H13" s="3">
        <v>43174</v>
      </c>
      <c r="I13" s="3" t="s">
        <v>82</v>
      </c>
      <c r="J13" t="s">
        <v>109</v>
      </c>
      <c r="K13" s="14">
        <v>15000</v>
      </c>
      <c r="P13" s="3"/>
    </row>
    <row r="14" spans="7:16" x14ac:dyDescent="0.25">
      <c r="G14">
        <v>5014</v>
      </c>
      <c r="H14" s="3">
        <v>43183</v>
      </c>
      <c r="I14" t="s">
        <v>86</v>
      </c>
      <c r="J14" t="s">
        <v>108</v>
      </c>
      <c r="K14" s="14">
        <v>93740</v>
      </c>
      <c r="P14" s="3"/>
    </row>
    <row r="15" spans="7:16" x14ac:dyDescent="0.25">
      <c r="G15">
        <v>5016</v>
      </c>
      <c r="H15" s="3">
        <v>43195</v>
      </c>
      <c r="I15" t="s">
        <v>81</v>
      </c>
      <c r="J15" t="s">
        <v>109</v>
      </c>
      <c r="K15" s="14">
        <v>2000</v>
      </c>
    </row>
    <row r="16" spans="7:16" x14ac:dyDescent="0.25">
      <c r="G16">
        <v>5018</v>
      </c>
      <c r="H16" s="3">
        <v>43205</v>
      </c>
      <c r="I16" t="s">
        <v>82</v>
      </c>
      <c r="J16" t="s">
        <v>109</v>
      </c>
      <c r="K16" s="14">
        <v>15000</v>
      </c>
    </row>
    <row r="17" spans="7:11" x14ac:dyDescent="0.25">
      <c r="G17">
        <v>5020</v>
      </c>
      <c r="H17" s="3">
        <v>43225</v>
      </c>
      <c r="I17" s="3" t="s">
        <v>86</v>
      </c>
      <c r="J17" t="s">
        <v>108</v>
      </c>
      <c r="K17" s="14">
        <v>84500</v>
      </c>
    </row>
    <row r="18" spans="7:11" x14ac:dyDescent="0.25">
      <c r="G18">
        <v>5022</v>
      </c>
      <c r="H18" s="3">
        <v>43225</v>
      </c>
      <c r="I18" t="s">
        <v>81</v>
      </c>
      <c r="J18" t="s">
        <v>109</v>
      </c>
      <c r="K18" s="14">
        <v>2000</v>
      </c>
    </row>
    <row r="19" spans="7:11" x14ac:dyDescent="0.25">
      <c r="G19">
        <v>5024</v>
      </c>
      <c r="H19" s="3">
        <v>43235</v>
      </c>
      <c r="I19" t="s">
        <v>82</v>
      </c>
      <c r="J19" t="s">
        <v>109</v>
      </c>
      <c r="K19" s="14">
        <v>15000</v>
      </c>
    </row>
    <row r="20" spans="7:11" x14ac:dyDescent="0.25">
      <c r="G20">
        <v>5026</v>
      </c>
      <c r="H20" s="3">
        <v>43246</v>
      </c>
      <c r="I20" s="3" t="s">
        <v>84</v>
      </c>
      <c r="J20" t="s">
        <v>110</v>
      </c>
      <c r="K20" s="14">
        <v>74600</v>
      </c>
    </row>
    <row r="21" spans="7:11" x14ac:dyDescent="0.25">
      <c r="G21">
        <v>5028</v>
      </c>
      <c r="H21" s="3">
        <v>43246</v>
      </c>
      <c r="I21" t="s">
        <v>83</v>
      </c>
      <c r="J21" t="s">
        <v>108</v>
      </c>
      <c r="K21" s="14">
        <v>68600</v>
      </c>
    </row>
    <row r="22" spans="7:11" x14ac:dyDescent="0.25">
      <c r="G22">
        <v>5030</v>
      </c>
      <c r="H22" s="3">
        <v>43253</v>
      </c>
      <c r="I22" t="s">
        <v>85</v>
      </c>
      <c r="J22" t="s">
        <v>110</v>
      </c>
      <c r="K22" s="14">
        <v>54600</v>
      </c>
    </row>
    <row r="23" spans="7:11" x14ac:dyDescent="0.25">
      <c r="G23">
        <v>5032</v>
      </c>
      <c r="H23" s="3">
        <v>43256</v>
      </c>
      <c r="I23" t="s">
        <v>81</v>
      </c>
      <c r="J23" t="s">
        <v>109</v>
      </c>
      <c r="K23" s="14">
        <v>2000</v>
      </c>
    </row>
    <row r="24" spans="7:11" x14ac:dyDescent="0.25">
      <c r="G24">
        <v>5034</v>
      </c>
      <c r="H24" s="3">
        <v>43266</v>
      </c>
      <c r="I24" t="s">
        <v>82</v>
      </c>
      <c r="J24" t="s">
        <v>109</v>
      </c>
      <c r="K24" s="14">
        <v>15000</v>
      </c>
    </row>
    <row r="25" spans="7:11" x14ac:dyDescent="0.25">
      <c r="G25">
        <v>5036</v>
      </c>
      <c r="H25" s="3">
        <v>43278</v>
      </c>
      <c r="I25" s="3" t="s">
        <v>83</v>
      </c>
      <c r="J25" t="s">
        <v>108</v>
      </c>
      <c r="K25" s="14">
        <v>74600</v>
      </c>
    </row>
    <row r="26" spans="7:11" x14ac:dyDescent="0.25">
      <c r="G26">
        <v>5038</v>
      </c>
      <c r="H26" s="3">
        <v>43286</v>
      </c>
      <c r="I26" t="s">
        <v>81</v>
      </c>
      <c r="J26" t="s">
        <v>109</v>
      </c>
      <c r="K26" s="14">
        <v>2000</v>
      </c>
    </row>
    <row r="27" spans="7:11" x14ac:dyDescent="0.25">
      <c r="G27">
        <v>5040</v>
      </c>
      <c r="H27" s="3">
        <v>43296</v>
      </c>
      <c r="I27" t="s">
        <v>82</v>
      </c>
      <c r="J27" t="s">
        <v>109</v>
      </c>
      <c r="K27" s="14">
        <v>15000</v>
      </c>
    </row>
    <row r="28" spans="7:11" x14ac:dyDescent="0.25">
      <c r="G28">
        <v>5042</v>
      </c>
      <c r="H28" s="3">
        <v>43305</v>
      </c>
      <c r="I28" s="3" t="s">
        <v>85</v>
      </c>
      <c r="J28" t="s">
        <v>110</v>
      </c>
      <c r="K28" s="14">
        <v>80000</v>
      </c>
    </row>
    <row r="29" spans="7:11" x14ac:dyDescent="0.25">
      <c r="G29">
        <v>5044</v>
      </c>
      <c r="H29" s="3">
        <v>43315</v>
      </c>
      <c r="I29" t="s">
        <v>86</v>
      </c>
      <c r="J29" t="s">
        <v>108</v>
      </c>
      <c r="K29" s="14">
        <v>47950</v>
      </c>
    </row>
    <row r="30" spans="7:11" x14ac:dyDescent="0.25">
      <c r="G30">
        <v>5031</v>
      </c>
      <c r="H30" s="3">
        <v>43327</v>
      </c>
      <c r="I30" t="s">
        <v>86</v>
      </c>
      <c r="J30" t="s">
        <v>108</v>
      </c>
      <c r="K30" s="14">
        <v>92000</v>
      </c>
    </row>
    <row r="31" spans="7:11" x14ac:dyDescent="0.25">
      <c r="G31">
        <v>5033</v>
      </c>
      <c r="H31" s="3">
        <v>43327</v>
      </c>
      <c r="I31" t="s">
        <v>82</v>
      </c>
      <c r="J31" t="s">
        <v>109</v>
      </c>
      <c r="K31" s="14">
        <v>15000</v>
      </c>
    </row>
    <row r="32" spans="7:11" x14ac:dyDescent="0.25">
      <c r="G32">
        <v>5035</v>
      </c>
      <c r="H32" s="3">
        <v>43332</v>
      </c>
      <c r="I32" t="s">
        <v>86</v>
      </c>
      <c r="J32" t="s">
        <v>108</v>
      </c>
      <c r="K32" s="14">
        <v>54250</v>
      </c>
    </row>
    <row r="33" spans="7:11" x14ac:dyDescent="0.25">
      <c r="G33">
        <v>5037</v>
      </c>
      <c r="H33" s="3">
        <v>43333</v>
      </c>
      <c r="I33" s="3" t="s">
        <v>84</v>
      </c>
      <c r="J33" t="s">
        <v>110</v>
      </c>
      <c r="K33" s="14">
        <v>44450</v>
      </c>
    </row>
    <row r="34" spans="7:11" x14ac:dyDescent="0.25">
      <c r="G34">
        <v>5039</v>
      </c>
      <c r="H34" s="3">
        <v>43343</v>
      </c>
      <c r="I34" t="s">
        <v>86</v>
      </c>
      <c r="J34" t="s">
        <v>108</v>
      </c>
      <c r="K34" s="14">
        <v>83000</v>
      </c>
    </row>
    <row r="35" spans="7:11" x14ac:dyDescent="0.25">
      <c r="G35">
        <v>5041</v>
      </c>
      <c r="H35" s="3">
        <v>43348</v>
      </c>
      <c r="I35" t="s">
        <v>81</v>
      </c>
      <c r="J35" t="s">
        <v>109</v>
      </c>
      <c r="K35" s="14">
        <v>2000</v>
      </c>
    </row>
    <row r="36" spans="7:11" x14ac:dyDescent="0.25">
      <c r="G36">
        <v>5043</v>
      </c>
      <c r="H36" s="3">
        <v>43358</v>
      </c>
      <c r="I36" t="s">
        <v>82</v>
      </c>
      <c r="J36" t="s">
        <v>109</v>
      </c>
      <c r="K36" s="14">
        <v>15000</v>
      </c>
    </row>
    <row r="37" spans="7:11" x14ac:dyDescent="0.25">
      <c r="G37">
        <v>5045</v>
      </c>
      <c r="H37" s="3">
        <v>43363</v>
      </c>
      <c r="I37" t="s">
        <v>83</v>
      </c>
      <c r="J37" t="s">
        <v>108</v>
      </c>
      <c r="K37" s="14">
        <v>74000</v>
      </c>
    </row>
    <row r="38" spans="7:11" x14ac:dyDescent="0.25">
      <c r="G38">
        <v>5047</v>
      </c>
      <c r="H38" s="3">
        <v>43376</v>
      </c>
      <c r="I38" s="3" t="s">
        <v>85</v>
      </c>
      <c r="J38" t="s">
        <v>110</v>
      </c>
      <c r="K38" s="14">
        <v>51100</v>
      </c>
    </row>
    <row r="39" spans="7:11" x14ac:dyDescent="0.25">
      <c r="G39">
        <v>5049</v>
      </c>
      <c r="H39" s="3">
        <v>43378</v>
      </c>
      <c r="I39" t="s">
        <v>81</v>
      </c>
      <c r="J39" t="s">
        <v>109</v>
      </c>
      <c r="K39" s="14">
        <v>2000</v>
      </c>
    </row>
    <row r="40" spans="7:11" x14ac:dyDescent="0.25">
      <c r="G40">
        <v>5051</v>
      </c>
      <c r="H40" s="3">
        <v>43382</v>
      </c>
      <c r="I40" t="s">
        <v>85</v>
      </c>
      <c r="J40" t="s">
        <v>108</v>
      </c>
      <c r="K40" s="14">
        <v>72100</v>
      </c>
    </row>
    <row r="41" spans="7:11" x14ac:dyDescent="0.25">
      <c r="G41">
        <v>5053</v>
      </c>
      <c r="H41" s="3">
        <v>43385</v>
      </c>
      <c r="I41" t="s">
        <v>86</v>
      </c>
      <c r="J41" t="s">
        <v>108</v>
      </c>
      <c r="K41" s="14">
        <v>58100</v>
      </c>
    </row>
    <row r="42" spans="7:11" x14ac:dyDescent="0.25">
      <c r="G42">
        <v>5055</v>
      </c>
      <c r="H42" s="3">
        <v>43388</v>
      </c>
      <c r="I42" t="s">
        <v>82</v>
      </c>
      <c r="J42" t="s">
        <v>109</v>
      </c>
      <c r="K42" s="14">
        <v>15000</v>
      </c>
    </row>
    <row r="43" spans="7:11" x14ac:dyDescent="0.25">
      <c r="G43">
        <v>5057</v>
      </c>
      <c r="H43" s="3">
        <v>43394</v>
      </c>
      <c r="I43" t="s">
        <v>84</v>
      </c>
      <c r="J43" t="s">
        <v>110</v>
      </c>
      <c r="K43" s="14">
        <v>72100</v>
      </c>
    </row>
    <row r="44" spans="7:11" x14ac:dyDescent="0.25">
      <c r="G44">
        <v>5059</v>
      </c>
      <c r="H44" s="3">
        <v>43396</v>
      </c>
      <c r="I44" s="3" t="s">
        <v>86</v>
      </c>
      <c r="J44" t="s">
        <v>108</v>
      </c>
      <c r="K44" s="14">
        <v>65100</v>
      </c>
    </row>
    <row r="45" spans="7:11" x14ac:dyDescent="0.25">
      <c r="G45">
        <v>5046</v>
      </c>
      <c r="H45" s="3">
        <v>43808</v>
      </c>
      <c r="I45" t="s">
        <v>82</v>
      </c>
      <c r="J45" t="s">
        <v>108</v>
      </c>
      <c r="K45" s="14">
        <v>5000</v>
      </c>
    </row>
    <row r="46" spans="7:11" x14ac:dyDescent="0.25">
      <c r="H46" s="3"/>
    </row>
    <row r="47" spans="7:11" x14ac:dyDescent="0.25">
      <c r="H47" s="3"/>
      <c r="J47" s="6"/>
    </row>
  </sheetData>
  <sortState xmlns:xlrd2="http://schemas.microsoft.com/office/spreadsheetml/2017/richdata2" ref="H2:J47">
    <sortCondition ref="H2:H4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utton 13">
              <controlPr defaultSize="0" print="0" autoFill="0" autoPict="0" macro="[0]!Add_Trans.add_trans">
                <anchor moveWithCells="1" sizeWithCells="1">
                  <from>
                    <xdr:col>0</xdr:col>
                    <xdr:colOff>638175</xdr:colOff>
                    <xdr:row>2</xdr:row>
                    <xdr:rowOff>9525</xdr:rowOff>
                  </from>
                  <to>
                    <xdr:col>5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Remove_Trans.remove_trans">
                <anchor moveWithCells="1" sizeWithCells="1">
                  <from>
                    <xdr:col>0</xdr:col>
                    <xdr:colOff>638175</xdr:colOff>
                    <xdr:row>6</xdr:row>
                    <xdr:rowOff>66675</xdr:rowOff>
                  </from>
                  <to>
                    <xdr:col>5</xdr:col>
                    <xdr:colOff>9525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Modify_Trans.modify_trans">
                <anchor moveWithCells="1" sizeWithCells="1">
                  <from>
                    <xdr:col>1</xdr:col>
                    <xdr:colOff>0</xdr:colOff>
                    <xdr:row>10</xdr:row>
                    <xdr:rowOff>66675</xdr:rowOff>
                  </from>
                  <to>
                    <xdr:col>4</xdr:col>
                    <xdr:colOff>638175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51C2-33CF-4191-8784-52DFDD9DE023}">
  <sheetPr codeName="Sheet2"/>
  <dimension ref="B2:N28"/>
  <sheetViews>
    <sheetView topLeftCell="A2" zoomScale="104" workbookViewId="0">
      <selection activeCell="I12" sqref="I12"/>
    </sheetView>
  </sheetViews>
  <sheetFormatPr defaultRowHeight="15" x14ac:dyDescent="0.25"/>
  <cols>
    <col min="1" max="1" width="9.28515625" bestFit="1" customWidth="1"/>
    <col min="2" max="2" width="13.28515625" customWidth="1"/>
    <col min="3" max="3" width="11.85546875" bestFit="1" customWidth="1"/>
    <col min="4" max="4" width="10.42578125" customWidth="1"/>
    <col min="5" max="5" width="20.5703125" bestFit="1" customWidth="1"/>
    <col min="6" max="6" width="19.5703125" bestFit="1" customWidth="1"/>
    <col min="7" max="7" width="14.140625" bestFit="1" customWidth="1"/>
    <col min="9" max="9" width="20.42578125" bestFit="1" customWidth="1"/>
    <col min="10" max="10" width="11.85546875" bestFit="1" customWidth="1"/>
    <col min="11" max="11" width="12.140625" bestFit="1" customWidth="1"/>
    <col min="12" max="12" width="11.85546875" bestFit="1" customWidth="1"/>
    <col min="13" max="14" width="12.85546875" bestFit="1" customWidth="1"/>
  </cols>
  <sheetData>
    <row r="2" spans="2:14" x14ac:dyDescent="0.25">
      <c r="B2" t="s">
        <v>7</v>
      </c>
      <c r="C2" t="s">
        <v>8</v>
      </c>
      <c r="D2" t="s">
        <v>9</v>
      </c>
      <c r="E2" t="s">
        <v>10</v>
      </c>
      <c r="F2" t="s">
        <v>97</v>
      </c>
      <c r="I2" t="s">
        <v>11</v>
      </c>
    </row>
    <row r="3" spans="2:14" x14ac:dyDescent="0.25">
      <c r="B3" t="s">
        <v>106</v>
      </c>
      <c r="C3" t="s">
        <v>5</v>
      </c>
      <c r="D3">
        <v>552</v>
      </c>
      <c r="E3" s="4">
        <f>SUMIF(Orders!K:K,'Payroll Information'!B3,Orders!O:O)</f>
        <v>174500</v>
      </c>
      <c r="F3" s="4">
        <f>D3*HLOOKUP(C3,$I$3:$N$4,2,0)+E3*HLOOKUP(E3,$I$7:$N$8,2,1)</f>
        <v>31695</v>
      </c>
      <c r="I3" t="s">
        <v>12</v>
      </c>
      <c r="J3" t="s">
        <v>5</v>
      </c>
      <c r="K3" t="s">
        <v>14</v>
      </c>
      <c r="L3" t="s">
        <v>1</v>
      </c>
      <c r="M3" t="s">
        <v>13</v>
      </c>
      <c r="N3" t="s">
        <v>15</v>
      </c>
    </row>
    <row r="4" spans="2:14" x14ac:dyDescent="0.25">
      <c r="B4" t="s">
        <v>64</v>
      </c>
      <c r="C4" t="s">
        <v>5</v>
      </c>
      <c r="D4">
        <v>555</v>
      </c>
      <c r="E4" s="4">
        <f>SUMIF(Orders!K:K,'Payroll Information'!B4,Orders!O:O)</f>
        <v>206500</v>
      </c>
      <c r="F4" s="4">
        <f t="shared" ref="F4:F28" si="0">D4*HLOOKUP(C4,$I$3:$N$4,2,0)+E4*HLOOKUP(E4,$I$7:$N$8,2,1)</f>
        <v>36525</v>
      </c>
      <c r="I4">
        <v>50</v>
      </c>
      <c r="J4">
        <v>10</v>
      </c>
      <c r="K4">
        <v>25</v>
      </c>
      <c r="L4">
        <v>30</v>
      </c>
      <c r="M4">
        <v>35</v>
      </c>
      <c r="N4">
        <v>45</v>
      </c>
    </row>
    <row r="5" spans="2:14" x14ac:dyDescent="0.25">
      <c r="B5" t="s">
        <v>68</v>
      </c>
      <c r="C5" t="s">
        <v>13</v>
      </c>
      <c r="D5">
        <v>983</v>
      </c>
      <c r="E5" s="4">
        <f>SUMIF(Orders!K:K,'Payroll Information'!B5,Orders!O:O)</f>
        <v>0</v>
      </c>
      <c r="F5" s="4">
        <f t="shared" si="0"/>
        <v>34405</v>
      </c>
    </row>
    <row r="6" spans="2:14" x14ac:dyDescent="0.25">
      <c r="B6" t="s">
        <v>70</v>
      </c>
      <c r="C6" t="s">
        <v>12</v>
      </c>
      <c r="D6">
        <v>1208</v>
      </c>
      <c r="E6" s="4">
        <f>SUMIF(Orders!K:K,'Payroll Information'!B6,Orders!O:O)</f>
        <v>0</v>
      </c>
      <c r="F6" s="4">
        <f t="shared" si="0"/>
        <v>60400</v>
      </c>
      <c r="I6" t="s">
        <v>80</v>
      </c>
    </row>
    <row r="7" spans="2:14" x14ac:dyDescent="0.25">
      <c r="B7" t="s">
        <v>53</v>
      </c>
      <c r="C7" t="s">
        <v>5</v>
      </c>
      <c r="D7">
        <v>860</v>
      </c>
      <c r="E7" s="4">
        <f>SUMIF(Orders!K:K,'Payroll Information'!B7,Orders!O:O)</f>
        <v>551400</v>
      </c>
      <c r="F7" s="4">
        <f t="shared" si="0"/>
        <v>91310</v>
      </c>
      <c r="I7" s="6">
        <v>0</v>
      </c>
      <c r="J7" s="6">
        <v>30000</v>
      </c>
      <c r="K7" s="6">
        <v>50000</v>
      </c>
      <c r="L7" s="6">
        <v>80000</v>
      </c>
      <c r="M7" s="6">
        <v>100000</v>
      </c>
      <c r="N7" s="6">
        <v>120000</v>
      </c>
    </row>
    <row r="8" spans="2:14" x14ac:dyDescent="0.25">
      <c r="B8" t="s">
        <v>78</v>
      </c>
      <c r="C8" t="s">
        <v>12</v>
      </c>
      <c r="D8">
        <v>1038</v>
      </c>
      <c r="E8" s="4">
        <f>SUMIF(Orders!K:K,'Payroll Information'!B8,Orders!O:O)</f>
        <v>0</v>
      </c>
      <c r="F8" s="4">
        <f t="shared" si="0"/>
        <v>51900</v>
      </c>
      <c r="I8" s="1">
        <v>0.08</v>
      </c>
      <c r="J8" s="1">
        <v>0.1</v>
      </c>
      <c r="K8" s="1">
        <v>0.12</v>
      </c>
      <c r="L8" s="2">
        <v>0.13</v>
      </c>
      <c r="M8" s="1">
        <v>0.14000000000000001</v>
      </c>
      <c r="N8" s="1">
        <v>0.15</v>
      </c>
    </row>
    <row r="9" spans="2:14" x14ac:dyDescent="0.25">
      <c r="B9" t="s">
        <v>60</v>
      </c>
      <c r="C9" t="s">
        <v>5</v>
      </c>
      <c r="D9">
        <v>437</v>
      </c>
      <c r="E9" s="4">
        <f>SUMIF(Orders!K:K,'Payroll Information'!B9,Orders!O:O)</f>
        <v>764480</v>
      </c>
      <c r="F9" s="4">
        <f t="shared" si="0"/>
        <v>119042</v>
      </c>
    </row>
    <row r="10" spans="2:14" x14ac:dyDescent="0.25">
      <c r="B10" t="s">
        <v>65</v>
      </c>
      <c r="C10" t="s">
        <v>5</v>
      </c>
      <c r="D10">
        <v>879</v>
      </c>
      <c r="E10" s="4">
        <f>SUMIF(Orders!K:K,'Payroll Information'!B10,Orders!O:O)</f>
        <v>629000</v>
      </c>
      <c r="F10" s="4">
        <f t="shared" si="0"/>
        <v>103140</v>
      </c>
    </row>
    <row r="11" spans="2:14" x14ac:dyDescent="0.25">
      <c r="B11" t="s">
        <v>71</v>
      </c>
      <c r="C11" t="s">
        <v>1</v>
      </c>
      <c r="D11">
        <v>1023</v>
      </c>
      <c r="E11" s="4">
        <f>SUMIF(Orders!K:K,'Payroll Information'!B11,Orders!O:O)</f>
        <v>0</v>
      </c>
      <c r="F11" s="4">
        <f t="shared" si="0"/>
        <v>30690</v>
      </c>
      <c r="I11" t="s">
        <v>98</v>
      </c>
    </row>
    <row r="12" spans="2:14" x14ac:dyDescent="0.25">
      <c r="B12" t="s">
        <v>61</v>
      </c>
      <c r="C12" t="s">
        <v>5</v>
      </c>
      <c r="D12">
        <v>528</v>
      </c>
      <c r="E12" s="4">
        <f>SUMIF(Orders!K:K,'Payroll Information'!B12,Orders!O:O)</f>
        <v>110000</v>
      </c>
      <c r="F12" s="4">
        <f t="shared" si="0"/>
        <v>20680</v>
      </c>
      <c r="I12" s="4">
        <f>SUM(F3:F999)</f>
        <v>1149757</v>
      </c>
    </row>
    <row r="13" spans="2:14" x14ac:dyDescent="0.25">
      <c r="B13" t="s">
        <v>57</v>
      </c>
      <c r="C13" t="s">
        <v>5</v>
      </c>
      <c r="D13">
        <v>769</v>
      </c>
      <c r="E13" s="4">
        <f>SUMIF(Orders!K:K,'Payroll Information'!B13,Orders!O:O)</f>
        <v>124000</v>
      </c>
      <c r="F13" s="4">
        <f t="shared" si="0"/>
        <v>26290</v>
      </c>
    </row>
    <row r="14" spans="2:14" x14ac:dyDescent="0.25">
      <c r="B14" t="s">
        <v>56</v>
      </c>
      <c r="C14" t="s">
        <v>5</v>
      </c>
      <c r="D14">
        <v>863</v>
      </c>
      <c r="E14" s="4">
        <f>SUMIF(Orders!K:K,'Payroll Information'!B14,Orders!O:O)</f>
        <v>122000</v>
      </c>
      <c r="F14" s="4">
        <f t="shared" si="0"/>
        <v>26930</v>
      </c>
    </row>
    <row r="15" spans="2:14" x14ac:dyDescent="0.25">
      <c r="B15" t="s">
        <v>79</v>
      </c>
      <c r="C15" t="s">
        <v>1</v>
      </c>
      <c r="D15">
        <v>1209</v>
      </c>
      <c r="E15" s="4">
        <f>SUMIF(Orders!K:K,'Payroll Information'!B15,Orders!O:O)</f>
        <v>0</v>
      </c>
      <c r="F15" s="4">
        <f t="shared" si="0"/>
        <v>36270</v>
      </c>
    </row>
    <row r="16" spans="2:14" x14ac:dyDescent="0.25">
      <c r="B16" t="s">
        <v>59</v>
      </c>
      <c r="C16" t="s">
        <v>5</v>
      </c>
      <c r="D16">
        <v>892</v>
      </c>
      <c r="E16" s="4">
        <f>SUMIF(Orders!K:K,'Payroll Information'!B16,Orders!O:O)</f>
        <v>207000</v>
      </c>
      <c r="F16" s="4">
        <f t="shared" si="0"/>
        <v>39970</v>
      </c>
    </row>
    <row r="17" spans="2:6" x14ac:dyDescent="0.25">
      <c r="B17" t="s">
        <v>75</v>
      </c>
      <c r="C17" t="s">
        <v>14</v>
      </c>
      <c r="D17">
        <v>1102</v>
      </c>
      <c r="E17" s="4">
        <f>SUMIF(Orders!K:K,'Payroll Information'!B17,Orders!O:O)</f>
        <v>0</v>
      </c>
      <c r="F17" s="4">
        <f t="shared" si="0"/>
        <v>27550</v>
      </c>
    </row>
    <row r="18" spans="2:6" x14ac:dyDescent="0.25">
      <c r="B18" t="s">
        <v>63</v>
      </c>
      <c r="C18" t="s">
        <v>5</v>
      </c>
      <c r="D18">
        <v>504</v>
      </c>
      <c r="E18" s="4">
        <f>SUMIF(Orders!K:K,'Payroll Information'!B18,Orders!O:O)</f>
        <v>192500</v>
      </c>
      <c r="F18" s="4">
        <f t="shared" si="0"/>
        <v>33915</v>
      </c>
    </row>
    <row r="19" spans="2:6" x14ac:dyDescent="0.25">
      <c r="B19" t="s">
        <v>76</v>
      </c>
      <c r="C19" t="s">
        <v>15</v>
      </c>
      <c r="D19">
        <v>983</v>
      </c>
      <c r="E19" s="4">
        <f>SUMIF(Orders!K:K,'Payroll Information'!B19,Orders!O:O)</f>
        <v>0</v>
      </c>
      <c r="F19" s="4">
        <f t="shared" si="0"/>
        <v>44235</v>
      </c>
    </row>
    <row r="20" spans="2:6" x14ac:dyDescent="0.25">
      <c r="B20" t="s">
        <v>69</v>
      </c>
      <c r="C20" t="s">
        <v>14</v>
      </c>
      <c r="D20">
        <v>1028</v>
      </c>
      <c r="E20" s="4">
        <f>SUMIF(Orders!K:K,'Payroll Information'!B20,Orders!O:O)</f>
        <v>0</v>
      </c>
      <c r="F20" s="4">
        <f t="shared" si="0"/>
        <v>25700</v>
      </c>
    </row>
    <row r="21" spans="2:6" x14ac:dyDescent="0.25">
      <c r="B21" t="s">
        <v>77</v>
      </c>
      <c r="C21" t="s">
        <v>12</v>
      </c>
      <c r="D21">
        <v>1497</v>
      </c>
      <c r="E21" s="4">
        <f>SUMIF(Orders!K:K,'Payroll Information'!B21,Orders!O:O)</f>
        <v>0</v>
      </c>
      <c r="F21" s="4">
        <f t="shared" si="0"/>
        <v>74850</v>
      </c>
    </row>
    <row r="22" spans="2:6" x14ac:dyDescent="0.25">
      <c r="B22" t="s">
        <v>55</v>
      </c>
      <c r="C22" t="s">
        <v>5</v>
      </c>
      <c r="D22">
        <v>739</v>
      </c>
      <c r="E22" s="4">
        <f>SUMIF(Orders!K:K,'Payroll Information'!B22,Orders!O:O)</f>
        <v>195000</v>
      </c>
      <c r="F22" s="4">
        <f t="shared" si="0"/>
        <v>36640</v>
      </c>
    </row>
    <row r="23" spans="2:6" x14ac:dyDescent="0.25">
      <c r="B23" t="s">
        <v>72</v>
      </c>
      <c r="C23" t="s">
        <v>14</v>
      </c>
      <c r="D23">
        <v>1114</v>
      </c>
      <c r="E23" s="4">
        <f>SUMIF(Orders!K:K,'Payroll Information'!B23,Orders!O:O)</f>
        <v>0</v>
      </c>
      <c r="F23" s="4">
        <f t="shared" si="0"/>
        <v>27850</v>
      </c>
    </row>
    <row r="24" spans="2:6" x14ac:dyDescent="0.25">
      <c r="B24" t="s">
        <v>67</v>
      </c>
      <c r="C24" t="s">
        <v>1</v>
      </c>
      <c r="D24">
        <v>1409</v>
      </c>
      <c r="E24" s="4">
        <f>SUMIF(Orders!K:K,'Payroll Information'!B24,Orders!O:O)</f>
        <v>0</v>
      </c>
      <c r="F24" s="4">
        <f t="shared" si="0"/>
        <v>42270</v>
      </c>
    </row>
    <row r="25" spans="2:6" x14ac:dyDescent="0.25">
      <c r="B25" t="s">
        <v>54</v>
      </c>
      <c r="C25" t="s">
        <v>5</v>
      </c>
      <c r="D25">
        <v>805</v>
      </c>
      <c r="E25" s="4">
        <f>SUMIF(Orders!K:K,'Payroll Information'!B25,Orders!O:O)</f>
        <v>160000</v>
      </c>
      <c r="F25" s="4">
        <f t="shared" si="0"/>
        <v>32050</v>
      </c>
    </row>
    <row r="26" spans="2:6" x14ac:dyDescent="0.25">
      <c r="B26" t="s">
        <v>74</v>
      </c>
      <c r="C26" t="s">
        <v>14</v>
      </c>
      <c r="D26">
        <v>1123</v>
      </c>
      <c r="E26" s="4">
        <f>SUMIF(Orders!K:K,'Payroll Information'!B26,Orders!O:O)</f>
        <v>0</v>
      </c>
      <c r="F26" s="4">
        <f t="shared" si="0"/>
        <v>28075</v>
      </c>
    </row>
    <row r="27" spans="2:6" x14ac:dyDescent="0.25">
      <c r="B27" t="s">
        <v>73</v>
      </c>
      <c r="C27" t="s">
        <v>14</v>
      </c>
      <c r="D27">
        <v>1157</v>
      </c>
      <c r="E27" s="4">
        <f>SUMIF(Orders!K:K,'Payroll Information'!B27,Orders!O:O)</f>
        <v>0</v>
      </c>
      <c r="F27" s="4">
        <f t="shared" si="0"/>
        <v>28925</v>
      </c>
    </row>
    <row r="28" spans="2:6" x14ac:dyDescent="0.25">
      <c r="B28" t="s">
        <v>58</v>
      </c>
      <c r="C28" t="s">
        <v>5</v>
      </c>
      <c r="D28">
        <v>560</v>
      </c>
      <c r="E28" s="4">
        <f>SUMIF(Orders!K:K,'Payroll Information'!B28,Orders!O:O)</f>
        <v>219000</v>
      </c>
      <c r="F28" s="4">
        <f t="shared" si="0"/>
        <v>38450</v>
      </c>
    </row>
  </sheetData>
  <sortState xmlns:xlrd2="http://schemas.microsoft.com/office/spreadsheetml/2017/richdata2" ref="B3:D28">
    <sortCondition ref="B2"/>
  </sortState>
  <dataConsolidate>
    <dataRefs count="1">
      <dataRef ref="B3:C75" sheet="Payroll Information"/>
    </dataRefs>
  </dataConsolid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A46A-288E-4EB3-AF2D-15615969DDD7}">
  <sheetPr codeName="Sheet4"/>
  <dimension ref="B1:D13"/>
  <sheetViews>
    <sheetView workbookViewId="0">
      <selection activeCell="D10" sqref="D10"/>
    </sheetView>
  </sheetViews>
  <sheetFormatPr defaultRowHeight="15" x14ac:dyDescent="0.25"/>
  <cols>
    <col min="2" max="2" width="55.7109375" bestFit="1" customWidth="1"/>
    <col min="3" max="3" width="15.28515625" bestFit="1" customWidth="1"/>
    <col min="4" max="4" width="14.28515625" customWidth="1"/>
  </cols>
  <sheetData>
    <row r="1" spans="2:4" ht="15.75" thickBot="1" x14ac:dyDescent="0.3"/>
    <row r="2" spans="2:4" ht="15.75" thickBot="1" x14ac:dyDescent="0.3">
      <c r="B2" s="10" t="s">
        <v>89</v>
      </c>
      <c r="C2" s="15">
        <f>SUM('Payroll Information'!E3:E28)</f>
        <v>3655380</v>
      </c>
      <c r="D2" s="5"/>
    </row>
    <row r="3" spans="2:4" x14ac:dyDescent="0.25">
      <c r="B3" s="7"/>
      <c r="C3" s="16"/>
    </row>
    <row r="4" spans="2:4" x14ac:dyDescent="0.25">
      <c r="B4" s="8" t="s">
        <v>90</v>
      </c>
      <c r="C4" s="17">
        <f>SUMIF(Suppliers!$J$2:$J$1000, "COGS", Suppliers!K:K)</f>
        <v>743600</v>
      </c>
    </row>
    <row r="5" spans="2:4" x14ac:dyDescent="0.25">
      <c r="B5" s="8" t="s">
        <v>91</v>
      </c>
      <c r="C5" s="17">
        <f>SUMIF(Suppliers!J:J, "SGA",Suppliers!K:K)</f>
        <v>168000</v>
      </c>
      <c r="D5" s="5"/>
    </row>
    <row r="6" spans="2:4" ht="15.75" thickBot="1" x14ac:dyDescent="0.3">
      <c r="B6" s="9" t="s">
        <v>92</v>
      </c>
      <c r="C6" s="18">
        <f>SUMIF(Suppliers!J:J,"RD", Suppliers!K:K)</f>
        <v>556200</v>
      </c>
    </row>
    <row r="7" spans="2:4" x14ac:dyDescent="0.25">
      <c r="B7" s="8"/>
      <c r="C7" s="17"/>
    </row>
    <row r="8" spans="2:4" x14ac:dyDescent="0.25">
      <c r="B8" s="8" t="s">
        <v>93</v>
      </c>
      <c r="C8" s="17">
        <f>C2-SUM(C4:C6)</f>
        <v>2187580</v>
      </c>
    </row>
    <row r="9" spans="2:4" ht="15.75" thickBot="1" x14ac:dyDescent="0.3">
      <c r="B9" s="8" t="s">
        <v>94</v>
      </c>
      <c r="C9" s="17">
        <f>C2*0.35</f>
        <v>1279383</v>
      </c>
    </row>
    <row r="10" spans="2:4" x14ac:dyDescent="0.25">
      <c r="B10" s="7"/>
      <c r="C10" s="16"/>
    </row>
    <row r="11" spans="2:4" ht="15.75" thickBot="1" x14ac:dyDescent="0.3">
      <c r="B11" s="9" t="s">
        <v>95</v>
      </c>
      <c r="C11" s="18">
        <f>C8-C9</f>
        <v>908197</v>
      </c>
    </row>
    <row r="13" spans="2:4" x14ac:dyDescent="0.25">
      <c r="C13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7929D-B629-41A9-96A3-5A6EE1288E83}">
  <sheetPr codeName="Sheet6"/>
  <dimension ref="A1:I27"/>
  <sheetViews>
    <sheetView workbookViewId="0">
      <selection activeCell="I4" sqref="I4"/>
    </sheetView>
  </sheetViews>
  <sheetFormatPr defaultRowHeight="15" x14ac:dyDescent="0.25"/>
  <cols>
    <col min="1" max="1" width="16.42578125" bestFit="1" customWidth="1"/>
    <col min="2" max="2" width="11.5703125" bestFit="1" customWidth="1"/>
    <col min="4" max="4" width="20.7109375" bestFit="1" customWidth="1"/>
    <col min="6" max="6" width="10.7109375" bestFit="1" customWidth="1"/>
    <col min="7" max="7" width="11.85546875" bestFit="1" customWidth="1"/>
    <col min="9" max="9" width="23" customWidth="1"/>
  </cols>
  <sheetData>
    <row r="1" spans="1:9" x14ac:dyDescent="0.25">
      <c r="A1" t="s">
        <v>16</v>
      </c>
      <c r="D1" t="s">
        <v>99</v>
      </c>
      <c r="F1" t="s">
        <v>100</v>
      </c>
      <c r="G1" t="s">
        <v>8</v>
      </c>
      <c r="I1" t="s">
        <v>114</v>
      </c>
    </row>
    <row r="2" spans="1:9" x14ac:dyDescent="0.25">
      <c r="A2" t="s">
        <v>1</v>
      </c>
      <c r="B2" t="s">
        <v>17</v>
      </c>
      <c r="D2" t="s">
        <v>81</v>
      </c>
      <c r="F2" t="s">
        <v>62</v>
      </c>
      <c r="G2" t="s">
        <v>5</v>
      </c>
      <c r="I2" t="s">
        <v>109</v>
      </c>
    </row>
    <row r="3" spans="1:9" x14ac:dyDescent="0.25">
      <c r="A3" t="s">
        <v>35</v>
      </c>
      <c r="B3" s="5">
        <v>7500</v>
      </c>
      <c r="D3" t="s">
        <v>84</v>
      </c>
      <c r="F3" t="s">
        <v>64</v>
      </c>
      <c r="G3" t="s">
        <v>5</v>
      </c>
      <c r="I3" t="s">
        <v>110</v>
      </c>
    </row>
    <row r="4" spans="1:9" x14ac:dyDescent="0.25">
      <c r="A4" t="s">
        <v>30</v>
      </c>
      <c r="B4" s="5">
        <v>9000</v>
      </c>
      <c r="D4" t="s">
        <v>86</v>
      </c>
      <c r="F4" t="s">
        <v>68</v>
      </c>
      <c r="G4" t="s">
        <v>13</v>
      </c>
      <c r="I4" t="s">
        <v>108</v>
      </c>
    </row>
    <row r="5" spans="1:9" x14ac:dyDescent="0.25">
      <c r="A5" t="s">
        <v>31</v>
      </c>
      <c r="B5" s="13">
        <v>11000</v>
      </c>
      <c r="D5" s="3" t="s">
        <v>82</v>
      </c>
      <c r="F5" t="s">
        <v>70</v>
      </c>
      <c r="G5" t="s">
        <v>12</v>
      </c>
    </row>
    <row r="6" spans="1:9" x14ac:dyDescent="0.25">
      <c r="A6" t="s">
        <v>39</v>
      </c>
      <c r="B6" s="13">
        <v>12500</v>
      </c>
      <c r="D6" t="s">
        <v>83</v>
      </c>
      <c r="F6" t="s">
        <v>53</v>
      </c>
      <c r="G6" t="s">
        <v>5</v>
      </c>
    </row>
    <row r="7" spans="1:9" x14ac:dyDescent="0.25">
      <c r="A7" t="s">
        <v>21</v>
      </c>
      <c r="B7" s="13">
        <v>14000</v>
      </c>
      <c r="D7" t="s">
        <v>85</v>
      </c>
      <c r="F7" t="s">
        <v>78</v>
      </c>
      <c r="G7" t="s">
        <v>12</v>
      </c>
    </row>
    <row r="8" spans="1:9" x14ac:dyDescent="0.25">
      <c r="A8" t="s">
        <v>26</v>
      </c>
      <c r="B8" s="13">
        <v>2500</v>
      </c>
      <c r="F8" t="s">
        <v>60</v>
      </c>
      <c r="G8" t="s">
        <v>5</v>
      </c>
    </row>
    <row r="9" spans="1:9" x14ac:dyDescent="0.25">
      <c r="A9" t="s">
        <v>41</v>
      </c>
      <c r="B9" s="13">
        <v>4000</v>
      </c>
      <c r="F9" t="s">
        <v>65</v>
      </c>
      <c r="G9" t="s">
        <v>5</v>
      </c>
    </row>
    <row r="10" spans="1:9" x14ac:dyDescent="0.25">
      <c r="A10" t="s">
        <v>23</v>
      </c>
      <c r="B10" s="13">
        <v>3500</v>
      </c>
      <c r="F10" t="s">
        <v>71</v>
      </c>
      <c r="G10" t="s">
        <v>1</v>
      </c>
    </row>
    <row r="11" spans="1:9" x14ac:dyDescent="0.25">
      <c r="A11" t="s">
        <v>27</v>
      </c>
      <c r="B11" s="13">
        <v>4500</v>
      </c>
      <c r="F11" t="s">
        <v>61</v>
      </c>
      <c r="G11" t="s">
        <v>5</v>
      </c>
    </row>
    <row r="12" spans="1:9" x14ac:dyDescent="0.25">
      <c r="A12" t="s">
        <v>19</v>
      </c>
      <c r="B12" s="13">
        <v>6000</v>
      </c>
      <c r="F12" t="s">
        <v>57</v>
      </c>
      <c r="G12" t="s">
        <v>5</v>
      </c>
    </row>
    <row r="13" spans="1:9" x14ac:dyDescent="0.25">
      <c r="A13" t="s">
        <v>20</v>
      </c>
      <c r="B13" s="13">
        <v>7500</v>
      </c>
      <c r="F13" t="s">
        <v>56</v>
      </c>
      <c r="G13" t="s">
        <v>5</v>
      </c>
    </row>
    <row r="14" spans="1:9" x14ac:dyDescent="0.25">
      <c r="A14" t="s">
        <v>37</v>
      </c>
      <c r="B14" s="13">
        <v>5000</v>
      </c>
      <c r="F14" t="s">
        <v>112</v>
      </c>
      <c r="G14" t="s">
        <v>1</v>
      </c>
    </row>
    <row r="15" spans="1:9" x14ac:dyDescent="0.25">
      <c r="A15" t="s">
        <v>34</v>
      </c>
      <c r="B15" s="13">
        <v>6000</v>
      </c>
      <c r="F15" t="s">
        <v>59</v>
      </c>
      <c r="G15" t="s">
        <v>5</v>
      </c>
    </row>
    <row r="16" spans="1:9" x14ac:dyDescent="0.25">
      <c r="A16" t="s">
        <v>28</v>
      </c>
      <c r="B16" s="13">
        <v>7500</v>
      </c>
      <c r="F16" t="s">
        <v>75</v>
      </c>
      <c r="G16" t="s">
        <v>14</v>
      </c>
    </row>
    <row r="17" spans="1:7" x14ac:dyDescent="0.25">
      <c r="A17" t="s">
        <v>24</v>
      </c>
      <c r="B17" s="13">
        <v>9000</v>
      </c>
      <c r="F17" t="s">
        <v>63</v>
      </c>
      <c r="G17" t="s">
        <v>5</v>
      </c>
    </row>
    <row r="18" spans="1:7" x14ac:dyDescent="0.25">
      <c r="A18" t="s">
        <v>33</v>
      </c>
      <c r="B18" s="13">
        <v>10000</v>
      </c>
      <c r="F18" t="s">
        <v>76</v>
      </c>
      <c r="G18" t="s">
        <v>15</v>
      </c>
    </row>
    <row r="19" spans="1:7" x14ac:dyDescent="0.25">
      <c r="A19" t="s">
        <v>38</v>
      </c>
      <c r="B19" s="5">
        <v>4000</v>
      </c>
      <c r="F19" t="s">
        <v>69</v>
      </c>
      <c r="G19" t="s">
        <v>14</v>
      </c>
    </row>
    <row r="20" spans="1:7" x14ac:dyDescent="0.25">
      <c r="A20" t="s">
        <v>40</v>
      </c>
      <c r="B20" s="5">
        <v>7500</v>
      </c>
      <c r="F20" t="s">
        <v>77</v>
      </c>
      <c r="G20" t="s">
        <v>12</v>
      </c>
    </row>
    <row r="21" spans="1:7" x14ac:dyDescent="0.25">
      <c r="A21" t="s">
        <v>25</v>
      </c>
      <c r="B21" s="5">
        <v>1500</v>
      </c>
      <c r="F21" t="s">
        <v>55</v>
      </c>
      <c r="G21" t="s">
        <v>5</v>
      </c>
    </row>
    <row r="22" spans="1:7" x14ac:dyDescent="0.25">
      <c r="A22" t="s">
        <v>32</v>
      </c>
      <c r="B22" s="5">
        <v>3000</v>
      </c>
      <c r="F22" t="s">
        <v>72</v>
      </c>
      <c r="G22" t="s">
        <v>14</v>
      </c>
    </row>
    <row r="23" spans="1:7" x14ac:dyDescent="0.25">
      <c r="A23" t="s">
        <v>22</v>
      </c>
      <c r="B23" s="5">
        <v>4500</v>
      </c>
      <c r="F23" t="s">
        <v>67</v>
      </c>
      <c r="G23" t="s">
        <v>1</v>
      </c>
    </row>
    <row r="24" spans="1:7" x14ac:dyDescent="0.25">
      <c r="A24" t="s">
        <v>18</v>
      </c>
      <c r="B24" s="5">
        <v>7500</v>
      </c>
      <c r="F24" t="s">
        <v>54</v>
      </c>
      <c r="G24" t="s">
        <v>5</v>
      </c>
    </row>
    <row r="25" spans="1:7" x14ac:dyDescent="0.25">
      <c r="A25" t="s">
        <v>36</v>
      </c>
      <c r="B25" s="5">
        <v>8000</v>
      </c>
      <c r="F25" t="s">
        <v>74</v>
      </c>
      <c r="G25" t="s">
        <v>14</v>
      </c>
    </row>
    <row r="26" spans="1:7" x14ac:dyDescent="0.25">
      <c r="A26" t="s">
        <v>29</v>
      </c>
      <c r="B26" s="5">
        <v>9000</v>
      </c>
      <c r="F26" t="s">
        <v>73</v>
      </c>
      <c r="G26" t="s">
        <v>14</v>
      </c>
    </row>
    <row r="27" spans="1:7" x14ac:dyDescent="0.25">
      <c r="F27" t="s">
        <v>58</v>
      </c>
      <c r="G27" t="s">
        <v>5</v>
      </c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AF48A-2D96-4C0B-B7BB-C7F9003BD3C6}">
  <sheetPr codeName="Sheet7"/>
  <dimension ref="A1:C31"/>
  <sheetViews>
    <sheetView workbookViewId="0">
      <selection activeCell="C28" sqref="C28"/>
    </sheetView>
  </sheetViews>
  <sheetFormatPr defaultRowHeight="15" x14ac:dyDescent="0.25"/>
  <cols>
    <col min="1" max="1" width="13.28515625" customWidth="1"/>
    <col min="2" max="3" width="15.5703125" bestFit="1" customWidth="1"/>
  </cols>
  <sheetData>
    <row r="1" spans="1:3" x14ac:dyDescent="0.25">
      <c r="A1" t="s">
        <v>101</v>
      </c>
      <c r="B1" t="s">
        <v>102</v>
      </c>
      <c r="C1" s="11" t="s">
        <v>103</v>
      </c>
    </row>
    <row r="2" spans="1:3" x14ac:dyDescent="0.25">
      <c r="A2" t="s">
        <v>104</v>
      </c>
      <c r="B2" s="12">
        <v>43488.831122685187</v>
      </c>
      <c r="C2" s="12">
        <v>43488.831504629627</v>
      </c>
    </row>
    <row r="3" spans="1:3" x14ac:dyDescent="0.25">
      <c r="A3" t="s">
        <v>104</v>
      </c>
      <c r="B3" s="12">
        <v>43490.642395833333</v>
      </c>
      <c r="C3" s="12">
        <v>43490.647789351853</v>
      </c>
    </row>
    <row r="4" spans="1:3" x14ac:dyDescent="0.25">
      <c r="A4" t="s">
        <v>104</v>
      </c>
      <c r="B4" s="12">
        <v>43566.710879629631</v>
      </c>
      <c r="C4" s="12">
        <v>43566.7109837963</v>
      </c>
    </row>
    <row r="5" spans="1:3" x14ac:dyDescent="0.25">
      <c r="A5" t="s">
        <v>104</v>
      </c>
      <c r="B5" s="12">
        <v>43566.711192129631</v>
      </c>
      <c r="C5" s="12">
        <v>43566.711631944447</v>
      </c>
    </row>
    <row r="6" spans="1:3" x14ac:dyDescent="0.25">
      <c r="A6" t="s">
        <v>104</v>
      </c>
      <c r="B6" s="12">
        <v>43567.687916666669</v>
      </c>
      <c r="C6" s="12">
        <v>43621.438506944447</v>
      </c>
    </row>
    <row r="7" spans="1:3" x14ac:dyDescent="0.25">
      <c r="A7" s="12" t="s">
        <v>111</v>
      </c>
      <c r="B7" s="11">
        <v>43787.026319444441</v>
      </c>
      <c r="C7" s="11">
        <v>43787.026701388888</v>
      </c>
    </row>
    <row r="8" spans="1:3" x14ac:dyDescent="0.25">
      <c r="A8" t="s">
        <v>104</v>
      </c>
      <c r="B8" s="11">
        <v>43787.02679398148</v>
      </c>
      <c r="C8" s="11">
        <v>43787.026886574073</v>
      </c>
    </row>
    <row r="9" spans="1:3" x14ac:dyDescent="0.25">
      <c r="A9" t="s">
        <v>104</v>
      </c>
      <c r="B9" s="11">
        <v>43787.026956018519</v>
      </c>
      <c r="C9" s="11">
        <v>43787.027060185188</v>
      </c>
    </row>
    <row r="10" spans="1:3" x14ac:dyDescent="0.25">
      <c r="A10" t="s">
        <v>111</v>
      </c>
      <c r="B10" s="11">
        <v>43787.02716435185</v>
      </c>
      <c r="C10" s="11">
        <v>43787.027268518519</v>
      </c>
    </row>
    <row r="11" spans="1:3" x14ac:dyDescent="0.25">
      <c r="A11" t="s">
        <v>104</v>
      </c>
      <c r="B11" s="11">
        <v>43787.027384259258</v>
      </c>
      <c r="C11" s="11">
        <v>43787.027314814812</v>
      </c>
    </row>
    <row r="12" spans="1:3" x14ac:dyDescent="0.25">
      <c r="A12" t="s">
        <v>104</v>
      </c>
      <c r="B12" s="11">
        <v>43787.027812499997</v>
      </c>
      <c r="C12" s="11">
        <v>43787.027858796297</v>
      </c>
    </row>
    <row r="13" spans="1:3" x14ac:dyDescent="0.25">
      <c r="A13" t="s">
        <v>111</v>
      </c>
      <c r="B13" s="11">
        <v>43787.027939814812</v>
      </c>
      <c r="C13" s="11">
        <v>43787.028171296297</v>
      </c>
    </row>
    <row r="14" spans="1:3" x14ac:dyDescent="0.25">
      <c r="A14" t="s">
        <v>111</v>
      </c>
      <c r="B14" s="11">
        <v>43787.028252314813</v>
      </c>
      <c r="C14" s="11">
        <v>43787.028310185182</v>
      </c>
    </row>
    <row r="15" spans="1:3" x14ac:dyDescent="0.25">
      <c r="A15" t="s">
        <v>104</v>
      </c>
      <c r="B15" s="11">
        <v>43787.028368055559</v>
      </c>
      <c r="C15" s="11">
        <v>43787.028437499997</v>
      </c>
    </row>
    <row r="16" spans="1:3" x14ac:dyDescent="0.25">
      <c r="A16" t="s">
        <v>104</v>
      </c>
      <c r="B16" s="11">
        <v>43787.032141203701</v>
      </c>
      <c r="C16" s="11">
        <v>43787.032233796293</v>
      </c>
    </row>
    <row r="17" spans="1:3" x14ac:dyDescent="0.25">
      <c r="A17" t="s">
        <v>111</v>
      </c>
      <c r="B17" s="11">
        <v>43787.03230324074</v>
      </c>
      <c r="C17" s="11">
        <v>43787.032349537039</v>
      </c>
    </row>
    <row r="18" spans="1:3" x14ac:dyDescent="0.25">
      <c r="A18" t="s">
        <v>104</v>
      </c>
      <c r="B18" s="11">
        <v>43787.033460648148</v>
      </c>
      <c r="C18" s="11">
        <v>43787.084618055553</v>
      </c>
    </row>
    <row r="19" spans="1:3" x14ac:dyDescent="0.25">
      <c r="A19" t="s">
        <v>104</v>
      </c>
      <c r="B19" s="11">
        <v>43787.084421296298</v>
      </c>
      <c r="C19" s="11">
        <v>43787.241724537038</v>
      </c>
    </row>
    <row r="20" spans="1:3" x14ac:dyDescent="0.25">
      <c r="A20" t="s">
        <v>104</v>
      </c>
      <c r="B20" s="11">
        <v>43787.241782407407</v>
      </c>
      <c r="C20" s="11">
        <v>43787.243113425924</v>
      </c>
    </row>
    <row r="21" spans="1:3" x14ac:dyDescent="0.25">
      <c r="A21" t="s">
        <v>104</v>
      </c>
      <c r="B21" s="11">
        <v>43801.693645833337</v>
      </c>
      <c r="C21" s="11">
        <v>43801.695729166669</v>
      </c>
    </row>
    <row r="22" spans="1:3" x14ac:dyDescent="0.25">
      <c r="A22" t="s">
        <v>104</v>
      </c>
      <c r="B22" s="11">
        <v>43808.013680555552</v>
      </c>
      <c r="C22" s="11">
        <v>43808.014861111114</v>
      </c>
    </row>
    <row r="23" spans="1:3" x14ac:dyDescent="0.25">
      <c r="A23" t="s">
        <v>115</v>
      </c>
      <c r="B23" s="11">
        <v>43808.014918981484</v>
      </c>
      <c r="C23" s="11">
        <v>43808.014976851853</v>
      </c>
    </row>
    <row r="24" spans="1:3" x14ac:dyDescent="0.25">
      <c r="A24" t="s">
        <v>104</v>
      </c>
      <c r="B24" s="11">
        <v>43808.015046296299</v>
      </c>
      <c r="C24" s="11">
        <v>43808.01599537037</v>
      </c>
    </row>
    <row r="25" spans="1:3" x14ac:dyDescent="0.25">
      <c r="A25" t="s">
        <v>104</v>
      </c>
      <c r="B25" s="11">
        <v>43808.016053240739</v>
      </c>
      <c r="C25" s="11">
        <v>43808.017465277779</v>
      </c>
    </row>
    <row r="26" spans="1:3" x14ac:dyDescent="0.25">
      <c r="A26" t="s">
        <v>115</v>
      </c>
      <c r="B26" s="11">
        <v>43808.017546296294</v>
      </c>
      <c r="C26" s="11">
        <v>43808.017569444448</v>
      </c>
    </row>
    <row r="27" spans="1:3" x14ac:dyDescent="0.25">
      <c r="A27" t="s">
        <v>104</v>
      </c>
      <c r="B27" s="11">
        <v>43808.017627314817</v>
      </c>
      <c r="C27" s="11">
        <v>43808.080775462964</v>
      </c>
    </row>
    <row r="28" spans="1:3" x14ac:dyDescent="0.25">
      <c r="A28" t="s">
        <v>115</v>
      </c>
      <c r="B28" s="11">
        <v>43808.08085648148</v>
      </c>
      <c r="C28" s="11">
        <v>43808.080925925926</v>
      </c>
    </row>
    <row r="29" spans="1:3" x14ac:dyDescent="0.25">
      <c r="A29" t="s">
        <v>104</v>
      </c>
      <c r="B29" s="11">
        <v>43808.081006944441</v>
      </c>
      <c r="C29" s="11">
        <v>43808.083460648151</v>
      </c>
    </row>
    <row r="30" spans="1:3" x14ac:dyDescent="0.25">
      <c r="A30" t="s">
        <v>104</v>
      </c>
      <c r="B30" s="11">
        <v>43808.083518518521</v>
      </c>
      <c r="C30" s="11">
        <v>43808.083611111113</v>
      </c>
    </row>
    <row r="31" spans="1:3" x14ac:dyDescent="0.25">
      <c r="A31" t="s">
        <v>104</v>
      </c>
      <c r="B31" s="11">
        <v>43808.085416666669</v>
      </c>
      <c r="C31" s="11">
        <v>43808.085543981484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Landing</vt:lpstr>
      <vt:lpstr>Orders</vt:lpstr>
      <vt:lpstr>Suppliers</vt:lpstr>
      <vt:lpstr>Payroll Information</vt:lpstr>
      <vt:lpstr>Income Statement</vt:lpstr>
      <vt:lpstr>Info</vt:lpstr>
      <vt:lpstr>Log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Eamon Zhao</cp:lastModifiedBy>
  <dcterms:created xsi:type="dcterms:W3CDTF">2018-11-26T21:21:13Z</dcterms:created>
  <dcterms:modified xsi:type="dcterms:W3CDTF">2019-12-09T07:03:14Z</dcterms:modified>
</cp:coreProperties>
</file>